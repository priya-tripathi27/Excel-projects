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\My DVA Content\Morning Batch Aug2025\Excel\"/>
    </mc:Choice>
  </mc:AlternateContent>
  <xr:revisionPtr revIDLastSave="0" documentId="8_{749DEEC5-9CF2-4FA9-94FD-9A7F575ED885}" xr6:coauthVersionLast="47" xr6:coauthVersionMax="47" xr10:uidLastSave="{00000000-0000-0000-0000-000000000000}"/>
  <bookViews>
    <workbookView xWindow="-108" yWindow="-108" windowWidth="23256" windowHeight="12456" tabRatio="777" activeTab="6" xr2:uid="{407432C0-CD38-464B-98A3-27E1CE9367A1}"/>
  </bookViews>
  <sheets>
    <sheet name="Class-2" sheetId="1" r:id="rId1"/>
    <sheet name="Class-3" sheetId="2" r:id="rId2"/>
    <sheet name="Class-4" sheetId="3" r:id="rId3"/>
    <sheet name="Raw Data" sheetId="4" r:id="rId4"/>
    <sheet name="Pivot tables solutions" sheetId="5" r:id="rId5"/>
    <sheet name="More on Pivot tables" sheetId="6" r:id="rId6"/>
    <sheet name="Class-5" sheetId="7" r:id="rId7"/>
  </sheets>
  <definedNames>
    <definedName name="Dyn_Months" comment="Dynamic months range">OFFSET('Class-5'!$D$98, 1, 0, COUNTA('Class-5'!$D$99:$D$110), 1)</definedName>
    <definedName name="Dyn_Sales">OFFSET('Class-5'!$D$98, 1, 1, COUNTA('Class-5'!$D$99:$D$110), 1)</definedName>
    <definedName name="Months">'Class-5'!$C$83:$C$92</definedName>
    <definedName name="Sales">'Class-5'!$D$83:$D$92</definedName>
  </definedNames>
  <calcPr calcId="191029"/>
  <pivotCaches>
    <pivotCache cacheId="0" r:id="rId8"/>
    <pivotCache cacheId="1" r:id="rId9"/>
    <pivotCache cacheId="5" r:id="rId10"/>
    <pivotCache cacheId="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7" i="7" l="1"/>
  <c r="F168" i="7"/>
  <c r="F169" i="7"/>
  <c r="F170" i="7"/>
  <c r="F171" i="7"/>
  <c r="F166" i="7"/>
  <c r="J60" i="7" l="1"/>
  <c r="F66" i="7" a="1"/>
  <c r="F66" i="7" s="1"/>
  <c r="F71" i="7" a="1"/>
  <c r="F71" i="7" s="1"/>
  <c r="F63" i="7" a="1"/>
  <c r="F63" i="7" s="1"/>
  <c r="F61" i="7"/>
  <c r="F59" i="7"/>
  <c r="K34" i="7"/>
  <c r="I42" i="7" a="1"/>
  <c r="I42" i="7" s="1"/>
  <c r="D42" i="7" a="1"/>
  <c r="D42" i="7" s="1"/>
  <c r="K33" i="7"/>
  <c r="K32" i="7"/>
  <c r="E82" i="3" l="1" a="1"/>
  <c r="E82" i="3" s="1"/>
  <c r="E83" i="3" a="1"/>
  <c r="E83" i="3" s="1"/>
  <c r="E84" i="3" a="1"/>
  <c r="E84" i="3" s="1"/>
  <c r="E85" i="3" a="1"/>
  <c r="E85" i="3" s="1"/>
  <c r="E81" i="3" a="1"/>
  <c r="E81" i="3" s="1"/>
  <c r="D82" i="3" a="1"/>
  <c r="D82" i="3" s="1"/>
  <c r="D83" i="3" a="1"/>
  <c r="D83" i="3" s="1"/>
  <c r="D84" i="3" a="1"/>
  <c r="D84" i="3" s="1"/>
  <c r="D85" i="3" a="1"/>
  <c r="D85" i="3" s="1"/>
  <c r="D81" i="3" a="1"/>
  <c r="D81" i="3" s="1"/>
  <c r="D76" i="3"/>
  <c r="E73" i="3"/>
  <c r="E72" i="3"/>
  <c r="D57" i="3"/>
  <c r="D54" i="3"/>
  <c r="H28" i="3"/>
  <c r="H27" i="3"/>
  <c r="D31" i="3"/>
  <c r="G28" i="3"/>
  <c r="G27" i="3"/>
  <c r="J14" i="3"/>
  <c r="J13" i="3"/>
  <c r="I125" i="2"/>
  <c r="I122" i="2"/>
  <c r="F123" i="2"/>
  <c r="F124" i="2"/>
  <c r="F125" i="2"/>
  <c r="F126" i="2"/>
  <c r="F127" i="2"/>
  <c r="F128" i="2"/>
  <c r="F122" i="2"/>
  <c r="N108" i="2"/>
  <c r="N109" i="2"/>
  <c r="N110" i="2"/>
  <c r="N111" i="2"/>
  <c r="N112" i="2"/>
  <c r="N113" i="2"/>
  <c r="N107" i="2"/>
  <c r="M102" i="2" a="1"/>
  <c r="M102" i="2" s="1"/>
  <c r="I92" i="2"/>
  <c r="J91" i="2"/>
  <c r="I90" i="2"/>
  <c r="I91" i="2"/>
  <c r="I72" i="2"/>
  <c r="I65" i="2"/>
  <c r="I64" i="2"/>
  <c r="I71" i="2"/>
  <c r="I68" i="2"/>
  <c r="I61" i="2"/>
  <c r="I58" i="2"/>
  <c r="E198" i="1"/>
  <c r="E199" i="1"/>
  <c r="I28" i="3" l="1"/>
  <c r="I27" i="3"/>
  <c r="G54" i="3" a="1"/>
  <c r="G54" i="3" s="1"/>
  <c r="D199" i="1"/>
  <c r="D198" i="1"/>
  <c r="F192" i="1"/>
  <c r="E192" i="1"/>
  <c r="F193" i="1"/>
  <c r="F194" i="1"/>
  <c r="E193" i="1"/>
  <c r="E194" i="1"/>
  <c r="D188" i="1"/>
  <c r="D189" i="1"/>
  <c r="D186" i="1"/>
  <c r="D185" i="1"/>
  <c r="G162" i="1"/>
  <c r="G163" i="1"/>
  <c r="G164" i="1"/>
  <c r="G165" i="1"/>
  <c r="G166" i="1"/>
  <c r="F165" i="1"/>
  <c r="E166" i="1"/>
  <c r="F166" i="1" s="1"/>
  <c r="E162" i="1"/>
  <c r="F162" i="1" s="1"/>
  <c r="E163" i="1"/>
  <c r="F163" i="1" s="1"/>
  <c r="E164" i="1"/>
  <c r="F164" i="1" s="1"/>
  <c r="E165" i="1"/>
  <c r="F157" i="1"/>
  <c r="G156" i="1"/>
  <c r="I156" i="1"/>
  <c r="G157" i="1"/>
  <c r="G158" i="1"/>
  <c r="G159" i="1"/>
  <c r="I157" i="1"/>
  <c r="I158" i="1"/>
  <c r="I159" i="1"/>
  <c r="H156" i="1"/>
  <c r="H157" i="1"/>
  <c r="H158" i="1"/>
  <c r="H159" i="1"/>
  <c r="E157" i="1"/>
  <c r="E158" i="1"/>
  <c r="F158" i="1" s="1"/>
  <c r="E159" i="1"/>
  <c r="F159" i="1" s="1"/>
  <c r="E156" i="1"/>
  <c r="F151" i="1"/>
  <c r="E150" i="1"/>
  <c r="F150" i="1" s="1"/>
  <c r="E151" i="1"/>
  <c r="E152" i="1"/>
  <c r="F152" i="1" s="1"/>
  <c r="E140" i="1"/>
  <c r="D139" i="1"/>
  <c r="H135" i="1"/>
  <c r="I135" i="1"/>
  <c r="I134" i="1"/>
  <c r="H134" i="1"/>
  <c r="G135" i="1"/>
  <c r="G134" i="1"/>
  <c r="J128" i="1"/>
  <c r="J129" i="1"/>
  <c r="J127" i="1"/>
  <c r="I128" i="1"/>
  <c r="I129" i="1"/>
  <c r="I127" i="1"/>
  <c r="H128" i="1"/>
  <c r="H129" i="1"/>
  <c r="H127" i="1"/>
  <c r="G128" i="1"/>
  <c r="G129" i="1"/>
  <c r="G127" i="1"/>
  <c r="F128" i="1"/>
  <c r="F129" i="1"/>
  <c r="F127" i="1"/>
  <c r="E128" i="1"/>
  <c r="E129" i="1"/>
  <c r="E127" i="1"/>
  <c r="J120" i="1"/>
  <c r="J121" i="1"/>
  <c r="J122" i="1"/>
  <c r="J119" i="1"/>
  <c r="I119" i="1" a="1"/>
  <c r="I119" i="1" s="1"/>
  <c r="H120" i="1"/>
  <c r="H121" i="1"/>
  <c r="H122" i="1"/>
  <c r="H119" i="1"/>
  <c r="G120" i="1"/>
  <c r="G121" i="1"/>
  <c r="G122" i="1"/>
  <c r="G119" i="1"/>
  <c r="F120" i="1"/>
  <c r="F121" i="1"/>
  <c r="F122" i="1"/>
  <c r="F119" i="1"/>
  <c r="E120" i="1"/>
  <c r="E121" i="1"/>
  <c r="E122" i="1"/>
  <c r="E119" i="1"/>
  <c r="F115" i="1"/>
  <c r="F113" i="1"/>
  <c r="F111" i="1"/>
  <c r="F107" i="1"/>
  <c r="F106" i="1"/>
  <c r="F105" i="1"/>
  <c r="E96" i="1"/>
  <c r="G93" i="1"/>
  <c r="E93" i="1"/>
  <c r="H87" i="1"/>
  <c r="G87" i="1"/>
  <c r="F87" i="1"/>
  <c r="E87" i="1"/>
  <c r="F15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<sst xmlns="http://schemas.openxmlformats.org/spreadsheetml/2006/main" count="3616" uniqueCount="595">
  <si>
    <t>Building Blocks Excel concepts:</t>
  </si>
  <si>
    <t>1. Basic terminiologies excel</t>
  </si>
  <si>
    <t>2. Conditionla formatting</t>
  </si>
  <si>
    <t>3. Shortcuts</t>
  </si>
  <si>
    <t>4. data types</t>
  </si>
  <si>
    <t>5. Number formatting</t>
  </si>
  <si>
    <t>6. Functions:</t>
  </si>
  <si>
    <t>a. Aggregate</t>
  </si>
  <si>
    <t>b. Date &amp; Time</t>
  </si>
  <si>
    <t>c. Text</t>
  </si>
  <si>
    <t>d. Number</t>
  </si>
  <si>
    <t xml:space="preserve">e. Logical </t>
  </si>
  <si>
    <t>f. Array functions</t>
  </si>
  <si>
    <t>g. Lookup</t>
  </si>
  <si>
    <t>h. Conditional</t>
  </si>
  <si>
    <t>7. Sorting</t>
  </si>
  <si>
    <t>8. Custom formating</t>
  </si>
  <si>
    <t>9. Filtering</t>
  </si>
  <si>
    <t>10. Cell Freezing</t>
  </si>
  <si>
    <t>11. Data Validation</t>
  </si>
  <si>
    <t>12. Remove duplicates</t>
  </si>
  <si>
    <t>13. Pivot tables</t>
  </si>
  <si>
    <t>14. Named ranges</t>
  </si>
  <si>
    <t>15. Visualization</t>
  </si>
  <si>
    <t>basic &amp; advanved charts</t>
  </si>
  <si>
    <t>16. Dashboard</t>
  </si>
  <si>
    <t>17. Misc topics:</t>
  </si>
  <si>
    <t>Power Pivot</t>
  </si>
  <si>
    <t>Data Analysis---&gt; ToolPAK</t>
  </si>
  <si>
    <t>comment, notes</t>
  </si>
  <si>
    <t>secure workbook , worksheet</t>
  </si>
  <si>
    <t>Dynamic Raw data</t>
  </si>
  <si>
    <t>Properties of Excel:</t>
  </si>
  <si>
    <t>1. Excel allows the data of only 2 types:</t>
  </si>
  <si>
    <t xml:space="preserve">b. Text | Categorical </t>
  </si>
  <si>
    <t xml:space="preserve">a. Numeric | Continuous </t>
  </si>
  <si>
    <t>Cardinality:</t>
  </si>
  <si>
    <r>
      <t xml:space="preserve">no. of </t>
    </r>
    <r>
      <rPr>
        <b/>
        <i/>
        <sz val="11"/>
        <color theme="1"/>
        <rFont val="Calibri"/>
        <family val="2"/>
        <scheme val="minor"/>
      </rPr>
      <t>unique</t>
    </r>
    <r>
      <rPr>
        <sz val="11"/>
        <color theme="1"/>
        <rFont val="Calibri"/>
        <family val="2"/>
        <scheme val="minor"/>
      </rPr>
      <t xml:space="preserve"> values</t>
    </r>
  </si>
  <si>
    <t>gender</t>
  </si>
  <si>
    <t>m</t>
  </si>
  <si>
    <t>f</t>
  </si>
  <si>
    <t>o</t>
  </si>
  <si>
    <t>….</t>
  </si>
  <si>
    <t>…</t>
  </si>
  <si>
    <t>10K records</t>
  </si>
  <si>
    <t>gender: m, f, o</t>
  </si>
  <si>
    <t>cardinality---&gt; 3</t>
  </si>
  <si>
    <t>Sales</t>
  </si>
  <si>
    <t>..</t>
  </si>
  <si>
    <t>text</t>
  </si>
  <si>
    <t>numeric</t>
  </si>
  <si>
    <t>cardinality is low for text data</t>
  </si>
  <si>
    <t>cardinality is high for numeric data</t>
  </si>
  <si>
    <t>2. Excel is CASE-INSENSITIVE , but anything within " "</t>
  </si>
  <si>
    <t>will be CASE- SENSITIVE</t>
  </si>
  <si>
    <t>3. Text data in:</t>
  </si>
  <si>
    <t>i. Excel: represented with " "</t>
  </si>
  <si>
    <t>ii. SQL: represented with  ' '</t>
  </si>
  <si>
    <t>iii. PowerBI: represented with " "</t>
  </si>
  <si>
    <t>iv. Python: represented with either ' ' or  " "</t>
  </si>
  <si>
    <t>NUMBER FORMATTING:</t>
  </si>
  <si>
    <t>Represented with 2 symbols:</t>
  </si>
  <si>
    <t>0, #</t>
  </si>
  <si>
    <t>5.6 K</t>
  </si>
  <si>
    <t>[&gt;=1000] 0.0,"K" ;  0</t>
  </si>
  <si>
    <t>8.8 M</t>
  </si>
  <si>
    <t>[&gt;=1000000] 0.0,, "M" ; [&gt;=1000] 0.0, "K"; 0</t>
  </si>
  <si>
    <t>Q: Represent 100 as 100.</t>
  </si>
  <si>
    <t>6.0 B</t>
  </si>
  <si>
    <t>CONDITIONAL FORMATTING:</t>
  </si>
  <si>
    <t>Example:</t>
  </si>
  <si>
    <t>Call start</t>
  </si>
  <si>
    <t>Call End</t>
  </si>
  <si>
    <t>Duration</t>
  </si>
  <si>
    <t>days</t>
  </si>
  <si>
    <t>hours</t>
  </si>
  <si>
    <t>minutes</t>
  </si>
  <si>
    <t>seconds</t>
  </si>
  <si>
    <t>hh</t>
  </si>
  <si>
    <t>[mm]</t>
  </si>
  <si>
    <t>Q: Get the today's date &amp; display it in the custom format of:</t>
  </si>
  <si>
    <t>dayname - Monthname daypart, year</t>
  </si>
  <si>
    <t>Curr_date=</t>
  </si>
  <si>
    <t>[dd-mm-yyyy]</t>
  </si>
  <si>
    <t>dddd - mmmm dd, yyyy</t>
  </si>
  <si>
    <t>Functions:</t>
  </si>
  <si>
    <t>Aggregate functions:</t>
  </si>
  <si>
    <t>sum, count, average, max, min, counta, large, small, countblank</t>
  </si>
  <si>
    <t>a123</t>
  </si>
  <si>
    <t>count vs. counta vs, countblank</t>
  </si>
  <si>
    <t>count(): counts only numeric data</t>
  </si>
  <si>
    <t>counta(): counts numeric +  text data</t>
  </si>
  <si>
    <t>countblank(): counts only blank cells</t>
  </si>
  <si>
    <t>Q: Highest sales</t>
  </si>
  <si>
    <t>Q: 3rd highest sales</t>
  </si>
  <si>
    <t>Q: 4th smallest value</t>
  </si>
  <si>
    <t>ceil, floor, round, abs, sqrt, abs, exp</t>
  </si>
  <si>
    <t>Round()--&gt; upto 2 decimal</t>
  </si>
  <si>
    <t>Ceil()</t>
  </si>
  <si>
    <t>floor()</t>
  </si>
  <si>
    <t>sqrt()</t>
  </si>
  <si>
    <t>ABS()</t>
  </si>
  <si>
    <t>NumBer Functions:</t>
  </si>
  <si>
    <t>Date &amp; time functions</t>
  </si>
  <si>
    <t>exp()</t>
  </si>
  <si>
    <t>DoB</t>
  </si>
  <si>
    <t>Years</t>
  </si>
  <si>
    <t>Months</t>
  </si>
  <si>
    <t>Days</t>
  </si>
  <si>
    <t>Weeknum</t>
  </si>
  <si>
    <t>weekday</t>
  </si>
  <si>
    <t>dayname</t>
  </si>
  <si>
    <t>text()---&gt; Text functions</t>
  </si>
  <si>
    <t>Times</t>
  </si>
  <si>
    <t>date</t>
  </si>
  <si>
    <t>time</t>
  </si>
  <si>
    <t>mins</t>
  </si>
  <si>
    <t>Q: A person was born on 29th day of Jan in the year of 1970. Display the DoB</t>
  </si>
  <si>
    <t>Epoch date:</t>
  </si>
  <si>
    <t>excel: 01 jan 1900</t>
  </si>
  <si>
    <t>python: 01 jan 1970</t>
  </si>
  <si>
    <t>Text function:</t>
  </si>
  <si>
    <t>left, right, mid, upper, lower, trim, proper, len, find, substitute, replace, search</t>
  </si>
  <si>
    <t>Players</t>
  </si>
  <si>
    <t>Rohit Sharma</t>
  </si>
  <si>
    <t>Virat Kohli</t>
  </si>
  <si>
    <t>Jaspreet Bumrah</t>
  </si>
  <si>
    <t>First name</t>
  </si>
  <si>
    <t>Lastname</t>
  </si>
  <si>
    <t>concat</t>
  </si>
  <si>
    <t>Mahendra Singh Dhoni</t>
  </si>
  <si>
    <t>KL Rahul</t>
  </si>
  <si>
    <t>Firstname</t>
  </si>
  <si>
    <t>middlename</t>
  </si>
  <si>
    <t>pos of 1st space</t>
  </si>
  <si>
    <t>pos of 2nd space</t>
  </si>
  <si>
    <t>Rohit Sharma Jersey45</t>
  </si>
  <si>
    <t>Virat Kohli Jersey18</t>
  </si>
  <si>
    <t>Mahendra Singh Dhoni Jersey07</t>
  </si>
  <si>
    <t>KL Rahul Jersey1</t>
  </si>
  <si>
    <t>Player name</t>
  </si>
  <si>
    <t>Jerseyno</t>
  </si>
  <si>
    <t>Prithvi Shaw Jersey100</t>
  </si>
  <si>
    <t>Text to columns:</t>
  </si>
  <si>
    <t>Rohit</t>
  </si>
  <si>
    <t>Sharma</t>
  </si>
  <si>
    <t>Virat</t>
  </si>
  <si>
    <t>Kohli</t>
  </si>
  <si>
    <t>Jaspreet</t>
  </si>
  <si>
    <t>Bumrah</t>
  </si>
  <si>
    <t>Mahendra</t>
  </si>
  <si>
    <t>Singh</t>
  </si>
  <si>
    <t>Dhoni</t>
  </si>
  <si>
    <t>KL</t>
  </si>
  <si>
    <t>Rahul</t>
  </si>
  <si>
    <t>Python</t>
  </si>
  <si>
    <t>Q:Find the position of 'n' in python</t>
  </si>
  <si>
    <t>=FIND("n", "Python")</t>
  </si>
  <si>
    <t>=SEARCH("n", "Python")</t>
  </si>
  <si>
    <t>=SEARCH("N", "Python")</t>
  </si>
  <si>
    <t>=FIND("N", "Python")</t>
  </si>
  <si>
    <t>Find() vs. Search():</t>
  </si>
  <si>
    <t>Player full name</t>
  </si>
  <si>
    <t>Movie names</t>
  </si>
  <si>
    <t>Movie name</t>
  </si>
  <si>
    <t>releasing year</t>
  </si>
  <si>
    <t>abc in (1990) - India</t>
  </si>
  <si>
    <t>bcksbco in (2000) - USA</t>
  </si>
  <si>
    <t>Last class topics:</t>
  </si>
  <si>
    <t>functions:</t>
  </si>
  <si>
    <t>aggregate, text, date &amp; time</t>
  </si>
  <si>
    <t>find() vs. search()</t>
  </si>
  <si>
    <t>text to columns</t>
  </si>
  <si>
    <t>number formatting</t>
  </si>
  <si>
    <t>conditional formatting</t>
  </si>
  <si>
    <t>custom number formatting</t>
  </si>
  <si>
    <t>LOOKUP FUNCTIONS:</t>
  </si>
  <si>
    <t>These functions are used for comaprisons of the datasets.</t>
  </si>
  <si>
    <t>These datasets can be in the same worksheet, different worksheets or different workbooks.</t>
  </si>
  <si>
    <t>c. Xlookup</t>
  </si>
  <si>
    <t>d. Match</t>
  </si>
  <si>
    <t>Lookup functions:</t>
  </si>
  <si>
    <t>Structured data can be in the form of:</t>
  </si>
  <si>
    <t>a. Vertical tables</t>
  </si>
  <si>
    <t>b. Horizontal tables</t>
  </si>
  <si>
    <t>cust_id</t>
  </si>
  <si>
    <t>name</t>
  </si>
  <si>
    <t>age</t>
  </si>
  <si>
    <t>…..</t>
  </si>
  <si>
    <t>Headers are in the first row.</t>
  </si>
  <si>
    <t>Headers are in the first column</t>
  </si>
  <si>
    <t>amit</t>
  </si>
  <si>
    <t>ankita</t>
  </si>
  <si>
    <t>c. Cross table | Cross tab | Contigency table:</t>
  </si>
  <si>
    <t>Headers are in the first row &amp; first column</t>
  </si>
  <si>
    <t>Quarters</t>
  </si>
  <si>
    <t>q1</t>
  </si>
  <si>
    <t>q2</t>
  </si>
  <si>
    <t>q3</t>
  </si>
  <si>
    <t>q4</t>
  </si>
  <si>
    <t>a. Vlookup | Vertical Lookup</t>
  </si>
  <si>
    <t>b. Hlookup | Horizontal lookup</t>
  </si>
  <si>
    <t>Cust_id</t>
  </si>
  <si>
    <t>Cust_name</t>
  </si>
  <si>
    <t>Gender</t>
  </si>
  <si>
    <t>Age</t>
  </si>
  <si>
    <t>City</t>
  </si>
  <si>
    <t>John</t>
  </si>
  <si>
    <t>Andy</t>
  </si>
  <si>
    <t>Andrea</t>
  </si>
  <si>
    <t>London</t>
  </si>
  <si>
    <t>NY</t>
  </si>
  <si>
    <t>goa</t>
  </si>
  <si>
    <t>Q: What is the name of the customer with cust_id 102?</t>
  </si>
  <si>
    <t>Q: What is thecity of the customer with cust_id 102?</t>
  </si>
  <si>
    <t>Q: What uis the customer id of Andrea?</t>
  </si>
  <si>
    <t>It works on vertical tables only</t>
  </si>
  <si>
    <t>It works on horizontal tables only</t>
  </si>
  <si>
    <t>Limitation: It only searches towards the DOWN side of the searching ROW</t>
  </si>
  <si>
    <t>Limitation: It only searches towards the RIGHT side of the searching column.</t>
  </si>
  <si>
    <t>It takes care of limitation of vlookup &amp; hlookup</t>
  </si>
  <si>
    <t>Limitation: It is available only in the latest versions of MS office or 365</t>
  </si>
  <si>
    <t>Q: What is the customer id of Andrea?</t>
  </si>
  <si>
    <t>Array functions:</t>
  </si>
  <si>
    <t>There are 2 ways to prepare summaries in excel:</t>
  </si>
  <si>
    <t>a. Array functions</t>
  </si>
  <si>
    <t>b. Pivot tables</t>
  </si>
  <si>
    <t>array functions are:</t>
  </si>
  <si>
    <t>i. sumif/sumifs</t>
  </si>
  <si>
    <t>ii. Countif/s</t>
  </si>
  <si>
    <t>iii. Averageif/s</t>
  </si>
  <si>
    <t>index()</t>
  </si>
  <si>
    <t>offset()</t>
  </si>
  <si>
    <t>choose()</t>
  </si>
  <si>
    <t>Cell Freezing:</t>
  </si>
  <si>
    <t>Data Validation:</t>
  </si>
  <si>
    <t>Checking the correctness of the data.</t>
  </si>
  <si>
    <t>male</t>
  </si>
  <si>
    <t>Male</t>
  </si>
  <si>
    <t>MALE</t>
  </si>
  <si>
    <t>List Data Validation:</t>
  </si>
  <si>
    <t>Number Data Validation</t>
  </si>
  <si>
    <t>Q: Find the bottom 3 sales.</t>
  </si>
  <si>
    <t>Label</t>
  </si>
  <si>
    <t>Q: Create a new colum 'Label', which check if it is part of bottom 3 sales.</t>
  </si>
  <si>
    <t>Descriptive Analysis:</t>
  </si>
  <si>
    <t>Find the summary of a column/s that includes:</t>
  </si>
  <si>
    <t>sum, count, max, min, average, small, large, std.dev, median, mode,….</t>
  </si>
  <si>
    <t>Categories</t>
  </si>
  <si>
    <t>A</t>
  </si>
  <si>
    <t>B</t>
  </si>
  <si>
    <t>C</t>
  </si>
  <si>
    <t>Qty</t>
  </si>
  <si>
    <t>UnitPrice</t>
  </si>
  <si>
    <t>Order_IDs</t>
  </si>
  <si>
    <t>Q: Find the total Sales/revenue?</t>
  </si>
  <si>
    <t>sumproduct()</t>
  </si>
  <si>
    <t>Last Class topics:</t>
  </si>
  <si>
    <t>1. Lookup functions:</t>
  </si>
  <si>
    <t>a. hlookup</t>
  </si>
  <si>
    <t>b. vlookup</t>
  </si>
  <si>
    <t>d. match</t>
  </si>
  <si>
    <t>c. xlookup</t>
  </si>
  <si>
    <t>2. Data Validations:</t>
  </si>
  <si>
    <t>number, list</t>
  </si>
  <si>
    <t>3. Descpritive Analysis</t>
  </si>
  <si>
    <t xml:space="preserve">sum, count max, min, average, </t>
  </si>
  <si>
    <t>mode, median, skewness</t>
  </si>
  <si>
    <t>4. Cell freezing</t>
  </si>
  <si>
    <t>array functions</t>
  </si>
  <si>
    <t>sumifs, countifs, averageif…</t>
  </si>
  <si>
    <t>Sachin Ramesh Tendulkar</t>
  </si>
  <si>
    <t>Agenda:</t>
  </si>
  <si>
    <t>1. Reverse lookup</t>
  </si>
  <si>
    <t>2. Concept of fiscal year | FY</t>
  </si>
  <si>
    <t>3. Logical function-&gt; OR, AND</t>
  </si>
  <si>
    <t>4. Named Ranges</t>
  </si>
  <si>
    <t>Sania Mirza</t>
  </si>
  <si>
    <t>middle name</t>
  </si>
  <si>
    <t>lastname</t>
  </si>
  <si>
    <t>2nd spce:</t>
  </si>
  <si>
    <t>REVERSE LOOKUP FUNCTIONS:</t>
  </si>
  <si>
    <t>The limitations of vlookup() &amp; hlookup() are handled by reverse lookup functions which are:</t>
  </si>
  <si>
    <t>a. Index() &amp; Match()</t>
  </si>
  <si>
    <t>b. Xlookup()</t>
  </si>
  <si>
    <t>c. Vlookup() &amp; Choose()</t>
  </si>
  <si>
    <t>index()---&gt; array functions</t>
  </si>
  <si>
    <t>match()---&gt; lookup functions</t>
  </si>
  <si>
    <t>vlookup()----&gt; lookup functions</t>
  </si>
  <si>
    <t>choose()---&gt; array functions</t>
  </si>
  <si>
    <t>City Code</t>
  </si>
  <si>
    <t>State</t>
  </si>
  <si>
    <t>Cities</t>
  </si>
  <si>
    <t>Population in 2011 (in mn)</t>
  </si>
  <si>
    <t>C1</t>
  </si>
  <si>
    <t>Maharashtra</t>
  </si>
  <si>
    <t>Mumbai</t>
  </si>
  <si>
    <t>C2</t>
  </si>
  <si>
    <t>Delhi</t>
  </si>
  <si>
    <t>Gujarat</t>
  </si>
  <si>
    <t>Ahmedabad</t>
  </si>
  <si>
    <t>C4</t>
  </si>
  <si>
    <t>West Bengal</t>
  </si>
  <si>
    <t>Kolkata</t>
  </si>
  <si>
    <t>C5</t>
  </si>
  <si>
    <t>Surat</t>
  </si>
  <si>
    <t>C6</t>
  </si>
  <si>
    <t>Pune</t>
  </si>
  <si>
    <t>C7</t>
  </si>
  <si>
    <t>Rajasthan</t>
  </si>
  <si>
    <t>Jaipur</t>
  </si>
  <si>
    <t>Q1: What is the row number where city code C7 is stored?</t>
  </si>
  <si>
    <t>Q2: What is the column number that stores City names?</t>
  </si>
  <si>
    <t>MATCH():</t>
  </si>
  <si>
    <t>It find the position of a particular row_num or col_num</t>
  </si>
  <si>
    <t>INDEX():</t>
  </si>
  <si>
    <t>It returns the intersection of row_num &amp; col_num</t>
  </si>
  <si>
    <t>=MATCH("C7",C44:C51, 0)</t>
  </si>
  <si>
    <t>=MATCH("Cities", C44:F44, 0)</t>
  </si>
  <si>
    <t>=INDEX($C$44:$F$51, D54, D57)</t>
  </si>
  <si>
    <t>Q: For the city name, chosen by the user, display its city code &amp; state name</t>
  </si>
  <si>
    <t>Cities:</t>
  </si>
  <si>
    <t>Q: What is the population for city code c5?</t>
  </si>
  <si>
    <t>Fiscal years</t>
  </si>
  <si>
    <t>Dates</t>
  </si>
  <si>
    <t>US FY</t>
  </si>
  <si>
    <t>IND FY</t>
  </si>
  <si>
    <t>Offset()</t>
  </si>
  <si>
    <t>Category</t>
  </si>
  <si>
    <t>Product</t>
  </si>
  <si>
    <t>Ship to Country</t>
  </si>
  <si>
    <t>Date of Purchase</t>
  </si>
  <si>
    <t>Condiments</t>
  </si>
  <si>
    <t>French's</t>
  </si>
  <si>
    <t>South Africa</t>
  </si>
  <si>
    <t>Meat/Poultry</t>
  </si>
  <si>
    <t>Shelton Poultry Produce</t>
  </si>
  <si>
    <t>Portugal</t>
  </si>
  <si>
    <t>Banquet Chicken</t>
  </si>
  <si>
    <t>China</t>
  </si>
  <si>
    <t>Mang Tomas</t>
  </si>
  <si>
    <t>France</t>
  </si>
  <si>
    <t>Australia</t>
  </si>
  <si>
    <t>Grain/Cereals</t>
  </si>
  <si>
    <t>Heart to Heart</t>
  </si>
  <si>
    <t>Brazil</t>
  </si>
  <si>
    <t>Trappey's Hot Sauce</t>
  </si>
  <si>
    <t>Sultana Bran</t>
  </si>
  <si>
    <t>Toledano Wings</t>
  </si>
  <si>
    <t>Argentina</t>
  </si>
  <si>
    <t>Wines and Beer</t>
  </si>
  <si>
    <t>Heiniken</t>
  </si>
  <si>
    <t>PIVOT TABLES &amp; PIVOT CACHE:</t>
  </si>
  <si>
    <t>Pivot tablea are used for summarizations.</t>
  </si>
  <si>
    <t>1. Category wise sales by selecting entire raw data</t>
  </si>
  <si>
    <t>Pivot table have 4 shelves:</t>
  </si>
  <si>
    <t>i. rows     ii. Columns</t>
  </si>
  <si>
    <t>iii. Filters    iv. Values</t>
  </si>
  <si>
    <t>Row Labels</t>
  </si>
  <si>
    <t>Grand Total</t>
  </si>
  <si>
    <t>Sum of Sales</t>
  </si>
  <si>
    <t>Column Labels</t>
  </si>
  <si>
    <t>Total Sales</t>
  </si>
  <si>
    <t>2. Category wise sales after changing one of the sales value</t>
  </si>
  <si>
    <t>3. Category wise sales by selecting the entire data but the last row</t>
  </si>
  <si>
    <t>Quarter</t>
  </si>
  <si>
    <t>Q1</t>
  </si>
  <si>
    <t>Q2</t>
  </si>
  <si>
    <t>Q4</t>
  </si>
  <si>
    <t>Q3</t>
  </si>
  <si>
    <t>Beverages</t>
  </si>
  <si>
    <t>Sjora</t>
  </si>
  <si>
    <t>Ireland</t>
  </si>
  <si>
    <t>Confections</t>
  </si>
  <si>
    <t>Fantails</t>
  </si>
  <si>
    <t>Bassett's Sour Squirms</t>
  </si>
  <si>
    <t>Seafood</t>
  </si>
  <si>
    <t>Chicken of the Sea</t>
  </si>
  <si>
    <t>Reese's Puffs</t>
  </si>
  <si>
    <t>Homepride</t>
  </si>
  <si>
    <t>Something Fishy</t>
  </si>
  <si>
    <t>Ecco Domani</t>
  </si>
  <si>
    <t>Japan</t>
  </si>
  <si>
    <t>Dairy Products</t>
  </si>
  <si>
    <t>Rose's Marmalade</t>
  </si>
  <si>
    <t>Bovril</t>
  </si>
  <si>
    <t>Granola</t>
  </si>
  <si>
    <t>Horlicks</t>
  </si>
  <si>
    <t>Barleycup</t>
  </si>
  <si>
    <t>PDQ Chocolate</t>
  </si>
  <si>
    <t>Mintolas</t>
  </si>
  <si>
    <t>India</t>
  </si>
  <si>
    <t>Gold Spot</t>
  </si>
  <si>
    <t>Pepperoni Pit</t>
  </si>
  <si>
    <t>Kentucky Common Beer</t>
  </si>
  <si>
    <t>Nutrimato</t>
  </si>
  <si>
    <t>Chocolate Oat Crunch Life</t>
  </si>
  <si>
    <t>Cravendale</t>
  </si>
  <si>
    <t>Plochman's</t>
  </si>
  <si>
    <t>Gale's Curd</t>
  </si>
  <si>
    <t>Bart's Peanut Butter Chocolate Crunch</t>
  </si>
  <si>
    <t>Maull's barbecue sauce</t>
  </si>
  <si>
    <t>Lipton Brisk</t>
  </si>
  <si>
    <t>Pilgrims Pride</t>
  </si>
  <si>
    <t>Lobsters by the Bay</t>
  </si>
  <si>
    <t>Pot Pie</t>
  </si>
  <si>
    <t>Jack's Shrimp</t>
  </si>
  <si>
    <t>Heinz Tomato Ketchup</t>
  </si>
  <si>
    <t>Budweiser</t>
  </si>
  <si>
    <t>Fish n Feed</t>
  </si>
  <si>
    <t>Choco Crunch</t>
  </si>
  <si>
    <t>Country Dale Milk</t>
  </si>
  <si>
    <t>Richards Wild Irish Rose</t>
  </si>
  <si>
    <t>Buzz Blasts</t>
  </si>
  <si>
    <t>Empire Kosher Poultry</t>
  </si>
  <si>
    <t>Gold n' Plump</t>
  </si>
  <si>
    <t>Ferrari Spumante</t>
  </si>
  <si>
    <t>Honey Bunches</t>
  </si>
  <si>
    <t>Milo</t>
  </si>
  <si>
    <t>Go Lean Cereal (Crunch)</t>
  </si>
  <si>
    <t>Benco Instant Choco Drink</t>
  </si>
  <si>
    <t>Fizz-wiz</t>
  </si>
  <si>
    <t>PJ's Smoothies</t>
  </si>
  <si>
    <t>McCowans</t>
  </si>
  <si>
    <t>Chivers</t>
  </si>
  <si>
    <t>Barbers Eggs</t>
  </si>
  <si>
    <t>Carlsberg</t>
  </si>
  <si>
    <t>Grape Nut Flakes</t>
  </si>
  <si>
    <t>Freddo</t>
  </si>
  <si>
    <t>Wrigley's Chewing Gum</t>
  </si>
  <si>
    <t>Yog-Active</t>
  </si>
  <si>
    <t>Gooey Logs</t>
  </si>
  <si>
    <t>Puff</t>
  </si>
  <si>
    <t>Nestle Double Berry</t>
  </si>
  <si>
    <t>Aromat</t>
  </si>
  <si>
    <t>Double Dip Sherbet</t>
  </si>
  <si>
    <t>Zacky Chicken</t>
  </si>
  <si>
    <t>Lockets</t>
  </si>
  <si>
    <t>Hartley's Jam</t>
  </si>
  <si>
    <t>Corona</t>
  </si>
  <si>
    <t>Sun-Pat Peanut Butter</t>
  </si>
  <si>
    <t>Rice Krispies</t>
  </si>
  <si>
    <t>Ovaltine</t>
  </si>
  <si>
    <t>Tavernello</t>
  </si>
  <si>
    <t>Gentleman's Relish</t>
  </si>
  <si>
    <t>Refreshers Gums</t>
  </si>
  <si>
    <t>Blue Nun</t>
  </si>
  <si>
    <t>The Evil Monk</t>
  </si>
  <si>
    <t>Nut 'n Honey</t>
  </si>
  <si>
    <t>Q1. What are the Total Sales for each category</t>
  </si>
  <si>
    <t>Q2. What are the Top 5 selling products in the Beverages category</t>
  </si>
  <si>
    <t>Q3. What are the sales for each product category in each quarter</t>
  </si>
  <si>
    <t>Revenue</t>
  </si>
  <si>
    <t>Products</t>
  </si>
  <si>
    <t>Q4. What is the Average, Total, count of orders, Maximum and Minimum Sales for the Seafood category in the 3rd and 4th quarters?</t>
  </si>
  <si>
    <t>Average of Sales2</t>
  </si>
  <si>
    <t>Max of Sales2</t>
  </si>
  <si>
    <t>Min of Sales2</t>
  </si>
  <si>
    <t>Count of Sales2</t>
  </si>
  <si>
    <t>GROUPS &amp; BINS</t>
  </si>
  <si>
    <t>GROUP:</t>
  </si>
  <si>
    <t>BINS:</t>
  </si>
  <si>
    <t>Groups is the segmentation of the data</t>
  </si>
  <si>
    <t>Bin is also the segmentation of the data</t>
  </si>
  <si>
    <r>
      <t xml:space="preserve">It can be done on both </t>
    </r>
    <r>
      <rPr>
        <sz val="11"/>
        <color rgb="FFFF0000"/>
        <rFont val="Calibri"/>
        <family val="2"/>
        <scheme val="minor"/>
      </rPr>
      <t xml:space="preserve">categorical </t>
    </r>
    <r>
      <rPr>
        <sz val="11"/>
        <color theme="1"/>
        <rFont val="Calibri"/>
        <family val="2"/>
        <scheme val="minor"/>
      </rPr>
      <t xml:space="preserve">or </t>
    </r>
    <r>
      <rPr>
        <sz val="11"/>
        <color rgb="FFFF0000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data</t>
    </r>
  </si>
  <si>
    <r>
      <t xml:space="preserve">It can be done only on </t>
    </r>
    <r>
      <rPr>
        <sz val="11"/>
        <color rgb="FFFF0000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data</t>
    </r>
  </si>
  <si>
    <t>Group sizes may or may not be same</t>
  </si>
  <si>
    <t>Bin sizes are always same,</t>
  </si>
  <si>
    <t>Hence, on bins histograms are possible</t>
  </si>
  <si>
    <t>Groups can be visualizased by column, line, aream bar charts</t>
  </si>
  <si>
    <t>You have a data of last 2 years for 3L customers.</t>
  </si>
  <si>
    <r>
      <rPr>
        <b/>
        <i/>
        <sz val="11"/>
        <color theme="4"/>
        <rFont val="Calibri"/>
        <family val="2"/>
        <scheme val="minor"/>
      </rPr>
      <t>Business Context:</t>
    </r>
    <r>
      <rPr>
        <sz val="11"/>
        <color theme="1"/>
        <rFont val="Calibri"/>
        <family val="2"/>
        <scheme val="minor"/>
      </rPr>
      <t xml:space="preserve">  Myntra wants to analyze the customer buying behaviours.</t>
    </r>
  </si>
  <si>
    <t>Strategy:</t>
  </si>
  <si>
    <t>Divide 3L customers into groups based on Age.</t>
  </si>
  <si>
    <t>Age column----&gt; 3L</t>
  </si>
  <si>
    <t>Age----&gt; Continuous</t>
  </si>
  <si>
    <t>G1:</t>
  </si>
  <si>
    <t>Min age---&gt; 15 years</t>
  </si>
  <si>
    <t>Max age---&gt;70</t>
  </si>
  <si>
    <t>15- 20</t>
  </si>
  <si>
    <t>G2:</t>
  </si>
  <si>
    <t>G3:</t>
  </si>
  <si>
    <t>G4:</t>
  </si>
  <si>
    <t>G5:</t>
  </si>
  <si>
    <t>G6:</t>
  </si>
  <si>
    <t>&gt;60</t>
  </si>
  <si>
    <t>TEENAGERS</t>
  </si>
  <si>
    <t>21- 29</t>
  </si>
  <si>
    <t>30-38</t>
  </si>
  <si>
    <t>39-50</t>
  </si>
  <si>
    <t>50-60</t>
  </si>
  <si>
    <t>Bins:</t>
  </si>
  <si>
    <t>B1:</t>
  </si>
  <si>
    <t>15-20</t>
  </si>
  <si>
    <t>B2:</t>
  </si>
  <si>
    <t>21-26</t>
  </si>
  <si>
    <t>B3</t>
  </si>
  <si>
    <t>Q: Group together the bottom 2 catgeories with least sales.</t>
  </si>
  <si>
    <t>Others</t>
  </si>
  <si>
    <t>Groups</t>
  </si>
  <si>
    <t>Q: What is the sales range for the overall data with number of orders.</t>
  </si>
  <si>
    <t>740-1239</t>
  </si>
  <si>
    <t>1240-1739</t>
  </si>
  <si>
    <t>1740-2239</t>
  </si>
  <si>
    <t>2240-2739</t>
  </si>
  <si>
    <t>2740-3239</t>
  </si>
  <si>
    <t>3240-3739</t>
  </si>
  <si>
    <t>Count of Category</t>
  </si>
  <si>
    <t>Sales Range</t>
  </si>
  <si>
    <t>Q: What is the monthly Sales?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</si>
  <si>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</si>
  <si>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</si>
  <si>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</si>
  <si>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</si>
  <si>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</si>
  <si>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</si>
  <si>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</si>
  <si>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</si>
  <si>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</si>
  <si>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</si>
  <si>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</si>
  <si>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</si>
  <si>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 Reverse Lookup:</t>
  </si>
  <si>
    <t>index() &amp; match()</t>
  </si>
  <si>
    <t>vlookup() &amp; choose()</t>
  </si>
  <si>
    <t>Xlookup()</t>
  </si>
  <si>
    <t>2. Sorting &amp; filtering</t>
  </si>
  <si>
    <t>3. Concept of FY</t>
  </si>
  <si>
    <t>4. Pivot tables</t>
  </si>
  <si>
    <t>pivot cache</t>
  </si>
  <si>
    <t>groups &amp; bins</t>
  </si>
  <si>
    <t xml:space="preserve">top n </t>
  </si>
  <si>
    <t>5. Logical functions</t>
  </si>
  <si>
    <t>1. Vlookup() &amp; choose()</t>
  </si>
  <si>
    <t>2. Named Ranges</t>
  </si>
  <si>
    <t>3. Progress Tracker</t>
  </si>
  <si>
    <t>CHOOSE():</t>
  </si>
  <si>
    <t>It is an array function</t>
  </si>
  <si>
    <t>It is used to change the structure of the tables.</t>
  </si>
  <si>
    <t>C3</t>
  </si>
  <si>
    <t>Q: What is the city code for Jaipur?</t>
  </si>
  <si>
    <t>1st way: Xlookup()</t>
  </si>
  <si>
    <t>2nd way: Index() &amp; Match()</t>
  </si>
  <si>
    <t>3rd way: Vlookup &amp; choose()</t>
  </si>
  <si>
    <t>Q: Show the data for cities column only from the above table.</t>
  </si>
  <si>
    <t>Q: Show the data from the above table as cities, citycode, pop, state</t>
  </si>
  <si>
    <t>NAMED RANGES:</t>
  </si>
  <si>
    <t>Sales($M)</t>
  </si>
  <si>
    <t>jan</t>
  </si>
  <si>
    <t>feb</t>
  </si>
  <si>
    <t>mar</t>
  </si>
  <si>
    <t>apr</t>
  </si>
  <si>
    <t>Ranges can be named via:</t>
  </si>
  <si>
    <t>a. Static named range</t>
  </si>
  <si>
    <t>b. Dynamic Named range</t>
  </si>
  <si>
    <t>may</t>
  </si>
  <si>
    <t>jun</t>
  </si>
  <si>
    <t>It is created with the help of Offset() &amp; Counta()</t>
  </si>
  <si>
    <t>OFFSET():</t>
  </si>
  <si>
    <t>It is n array function</t>
  </si>
  <si>
    <t>Syntax: OFFSET(refrence, rows, cols, [height], [width])</t>
  </si>
  <si>
    <t>by default, height &amp; width both are 1</t>
  </si>
  <si>
    <t>Q: What is the last month in the data?</t>
  </si>
  <si>
    <t>Q: What is the sales done in last month?</t>
  </si>
  <si>
    <t>Q: What are the last 2 months?</t>
  </si>
  <si>
    <t>Q: What is the sales of last 3 months?</t>
  </si>
  <si>
    <t>Q: Show the data of last 4 months?</t>
  </si>
  <si>
    <t>Q: What is the average sales of</t>
  </si>
  <si>
    <t>last 3 months?</t>
  </si>
  <si>
    <t>jul</t>
  </si>
  <si>
    <t>h=1, w=1</t>
  </si>
  <si>
    <t>h=1, w =2</t>
  </si>
  <si>
    <t>h=2. w=2</t>
  </si>
  <si>
    <t>aug</t>
  </si>
  <si>
    <t>Dyn_Months =Offset('Class-5'!$D$98, 1, 0, counta('Class-5'!$D$99:$D$110), 1)</t>
  </si>
  <si>
    <t>Dyn_Sales=Offset('Class-5'!$D$98, 1, 1, counta('Class-5'!$D$99:$D$110), 1)</t>
  </si>
  <si>
    <t>sep</t>
  </si>
  <si>
    <t>oct</t>
  </si>
  <si>
    <t>nov</t>
  </si>
  <si>
    <t>More on Pivot tables:</t>
  </si>
  <si>
    <t>Q: What is the monthly sales? Also perform MoMSales change Analysis.</t>
  </si>
  <si>
    <t>2014</t>
  </si>
  <si>
    <t>2015</t>
  </si>
  <si>
    <t>Sales Change</t>
  </si>
  <si>
    <t>change | Differece from = Current  - Previous</t>
  </si>
  <si>
    <t>change% | Difference from % = (Current  - Previous) / Previous</t>
  </si>
  <si>
    <t>Date received</t>
  </si>
  <si>
    <t>Date resolved</t>
  </si>
  <si>
    <t>10/20/2015</t>
  </si>
  <si>
    <t>03/26/2015</t>
  </si>
  <si>
    <t>10/27/2015</t>
  </si>
  <si>
    <t>05/23/2015</t>
  </si>
  <si>
    <t>Corrected dates</t>
  </si>
  <si>
    <t>Received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</si>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</sst>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&gt;=1000]\ 0.0,\ &quot;K&quot;\ ;\ \ 0"/>
    <numFmt numFmtId="165" formatCode="[&gt;=1000000]\ 0.0,,\ &quot;M&quot;\ ;[&gt;=1000]\ \ 0.0,\ &quot;K&quot;;\ 0"/>
    <numFmt numFmtId="166" formatCode="0.#"/>
    <numFmt numFmtId="167" formatCode="hh"/>
    <numFmt numFmtId="168" formatCode="[mm]"/>
    <numFmt numFmtId="169" formatCode="[ss]"/>
    <numFmt numFmtId="170" formatCode="dddd\ /\ mmmm\ dd\,\ yyyy"/>
    <numFmt numFmtId="171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i/>
      <sz val="10"/>
      <color rgb="FFFF0000"/>
      <name val="Calibri"/>
      <family val="2"/>
      <scheme val="minor"/>
    </font>
    <font>
      <b/>
      <i/>
      <sz val="9"/>
      <color rgb="FFFF0000"/>
      <name val="Arial"/>
      <family val="2"/>
    </font>
    <font>
      <b/>
      <i/>
      <sz val="10"/>
      <color rgb="FFFF0000"/>
      <name val="Arial"/>
      <family val="2"/>
    </font>
    <font>
      <b/>
      <i/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14" fontId="2" fillId="2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0" xfId="0" quotePrefix="1"/>
    <xf numFmtId="165" fontId="0" fillId="0" borderId="1" xfId="0" applyNumberFormat="1" applyBorder="1"/>
    <xf numFmtId="166" fontId="0" fillId="0" borderId="0" xfId="0" applyNumberFormat="1"/>
    <xf numFmtId="0" fontId="0" fillId="0" borderId="2" xfId="0" applyBorder="1"/>
    <xf numFmtId="165" fontId="0" fillId="0" borderId="0" xfId="0" applyNumberFormat="1"/>
    <xf numFmtId="18" fontId="0" fillId="0" borderId="1" xfId="0" applyNumberFormat="1" applyBorder="1"/>
    <xf numFmtId="0" fontId="1" fillId="3" borderId="1" xfId="0" applyFont="1" applyFill="1" applyBorder="1"/>
    <xf numFmtId="0" fontId="1" fillId="3" borderId="3" xfId="0" applyFont="1" applyFill="1" applyBorder="1"/>
    <xf numFmtId="1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4" fontId="0" fillId="0" borderId="0" xfId="0" applyNumberFormat="1"/>
    <xf numFmtId="22" fontId="0" fillId="0" borderId="0" xfId="0" applyNumberFormat="1"/>
    <xf numFmtId="170" fontId="0" fillId="0" borderId="0" xfId="0" applyNumberFormat="1"/>
    <xf numFmtId="0" fontId="1" fillId="0" borderId="2" xfId="0" applyFont="1" applyBorder="1"/>
    <xf numFmtId="14" fontId="0" fillId="0" borderId="1" xfId="0" applyNumberFormat="1" applyBorder="1"/>
    <xf numFmtId="22" fontId="0" fillId="0" borderId="7" xfId="0" applyNumberFormat="1" applyBorder="1"/>
    <xf numFmtId="14" fontId="0" fillId="0" borderId="7" xfId="0" applyNumberFormat="1" applyBorder="1"/>
    <xf numFmtId="19" fontId="0" fillId="0" borderId="7" xfId="0" applyNumberFormat="1" applyBorder="1"/>
    <xf numFmtId="18" fontId="0" fillId="0" borderId="0" xfId="0" applyNumberFormat="1"/>
    <xf numFmtId="19" fontId="0" fillId="0" borderId="0" xfId="0" applyNumberFormat="1"/>
    <xf numFmtId="0" fontId="1" fillId="0" borderId="8" xfId="0" applyFont="1" applyBorder="1"/>
    <xf numFmtId="14" fontId="7" fillId="2" borderId="0" xfId="0" applyNumberFormat="1" applyFont="1" applyFill="1"/>
    <xf numFmtId="0" fontId="8" fillId="2" borderId="0" xfId="0" applyFont="1" applyFill="1"/>
    <xf numFmtId="0" fontId="1" fillId="4" borderId="1" xfId="0" applyFont="1" applyFill="1" applyBorder="1"/>
    <xf numFmtId="0" fontId="0" fillId="3" borderId="1" xfId="0" applyFill="1" applyBorder="1"/>
    <xf numFmtId="0" fontId="9" fillId="0" borderId="0" xfId="0" applyFont="1"/>
    <xf numFmtId="0" fontId="9" fillId="0" borderId="10" xfId="0" applyFont="1" applyBorder="1"/>
    <xf numFmtId="0" fontId="7" fillId="0" borderId="0" xfId="0" applyFont="1"/>
    <xf numFmtId="0" fontId="0" fillId="5" borderId="0" xfId="0" applyFill="1"/>
    <xf numFmtId="14" fontId="1" fillId="2" borderId="0" xfId="0" applyNumberFormat="1" applyFont="1" applyFill="1"/>
    <xf numFmtId="0" fontId="12" fillId="0" borderId="15" xfId="1" applyFont="1" applyBorder="1"/>
    <xf numFmtId="0" fontId="12" fillId="0" borderId="16" xfId="1" applyFont="1" applyBorder="1"/>
    <xf numFmtId="2" fontId="12" fillId="0" borderId="17" xfId="1" applyNumberFormat="1" applyFont="1" applyBorder="1"/>
    <xf numFmtId="0" fontId="12" fillId="0" borderId="18" xfId="1" applyFont="1" applyBorder="1"/>
    <xf numFmtId="0" fontId="12" fillId="0" borderId="1" xfId="1" applyFont="1" applyBorder="1"/>
    <xf numFmtId="2" fontId="12" fillId="0" borderId="19" xfId="1" applyNumberFormat="1" applyFont="1" applyBorder="1"/>
    <xf numFmtId="0" fontId="13" fillId="6" borderId="11" xfId="1" applyFont="1" applyFill="1" applyBorder="1" applyAlignment="1">
      <alignment horizontal="center" wrapText="1"/>
    </xf>
    <xf numFmtId="0" fontId="13" fillId="6" borderId="12" xfId="1" applyFont="1" applyFill="1" applyBorder="1" applyAlignment="1">
      <alignment horizontal="center" wrapText="1"/>
    </xf>
    <xf numFmtId="0" fontId="13" fillId="6" borderId="13" xfId="1" applyFont="1" applyFill="1" applyBorder="1" applyAlignment="1">
      <alignment horizontal="center"/>
    </xf>
    <xf numFmtId="0" fontId="13" fillId="6" borderId="14" xfId="1" applyFont="1" applyFill="1" applyBorder="1" applyAlignment="1">
      <alignment horizontal="center" wrapText="1"/>
    </xf>
    <xf numFmtId="0" fontId="12" fillId="0" borderId="0" xfId="1" applyFont="1"/>
    <xf numFmtId="0" fontId="14" fillId="0" borderId="0" xfId="0" applyFont="1"/>
    <xf numFmtId="0" fontId="15" fillId="0" borderId="0" xfId="1" applyFont="1"/>
    <xf numFmtId="0" fontId="15" fillId="0" borderId="0" xfId="1" applyFont="1" applyAlignment="1">
      <alignment horizontal="left" wrapText="1"/>
    </xf>
    <xf numFmtId="0" fontId="12" fillId="0" borderId="0" xfId="1" quotePrefix="1" applyFont="1"/>
    <xf numFmtId="0" fontId="11" fillId="0" borderId="15" xfId="1" applyBorder="1"/>
    <xf numFmtId="0" fontId="11" fillId="0" borderId="16" xfId="1" applyBorder="1"/>
    <xf numFmtId="2" fontId="11" fillId="0" borderId="17" xfId="1" applyNumberFormat="1" applyBorder="1"/>
    <xf numFmtId="0" fontId="11" fillId="0" borderId="18" xfId="1" applyBorder="1"/>
    <xf numFmtId="0" fontId="11" fillId="0" borderId="1" xfId="1" applyBorder="1"/>
    <xf numFmtId="2" fontId="11" fillId="0" borderId="19" xfId="1" applyNumberFormat="1" applyBorder="1"/>
    <xf numFmtId="0" fontId="16" fillId="0" borderId="0" xfId="1" applyFont="1"/>
    <xf numFmtId="0" fontId="4" fillId="7" borderId="1" xfId="0" applyFont="1" applyFill="1" applyBorder="1"/>
    <xf numFmtId="0" fontId="0" fillId="7" borderId="1" xfId="0" applyFill="1" applyBorder="1"/>
    <xf numFmtId="0" fontId="1" fillId="6" borderId="11" xfId="0" applyFont="1" applyFill="1" applyBorder="1"/>
    <xf numFmtId="0" fontId="1" fillId="6" borderId="13" xfId="0" applyFont="1" applyFill="1" applyBorder="1"/>
    <xf numFmtId="0" fontId="1" fillId="6" borderId="20" xfId="0" applyFont="1" applyFill="1" applyBorder="1"/>
    <xf numFmtId="0" fontId="0" fillId="0" borderId="15" xfId="0" applyBorder="1"/>
    <xf numFmtId="0" fontId="0" fillId="0" borderId="16" xfId="0" applyBorder="1"/>
    <xf numFmtId="14" fontId="0" fillId="0" borderId="21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1" fillId="6" borderId="14" xfId="0" applyFont="1" applyFill="1" applyBorder="1"/>
    <xf numFmtId="0" fontId="0" fillId="0" borderId="17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14" fontId="0" fillId="0" borderId="24" xfId="0" applyNumberFormat="1" applyBorder="1"/>
    <xf numFmtId="0" fontId="0" fillId="0" borderId="25" xfId="0" applyBorder="1"/>
    <xf numFmtId="171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0" xfId="0" applyFont="1" applyFill="1" applyBorder="1"/>
    <xf numFmtId="0" fontId="1" fillId="9" borderId="1" xfId="0" applyFont="1" applyFill="1" applyBorder="1"/>
    <xf numFmtId="0" fontId="0" fillId="10" borderId="26" xfId="0" applyFill="1" applyBorder="1"/>
    <xf numFmtId="0" fontId="0" fillId="10" borderId="1" xfId="0" applyFill="1" applyBorder="1"/>
    <xf numFmtId="0" fontId="0" fillId="0" borderId="27" xfId="0" applyBorder="1"/>
    <xf numFmtId="0" fontId="0" fillId="0" borderId="7" xfId="0" applyBorder="1"/>
    <xf numFmtId="0" fontId="0" fillId="0" borderId="30" xfId="0" applyBorder="1"/>
    <xf numFmtId="0" fontId="0" fillId="0" borderId="31" xfId="0" applyBorder="1"/>
    <xf numFmtId="0" fontId="19" fillId="9" borderId="28" xfId="0" applyFont="1" applyFill="1" applyBorder="1"/>
    <xf numFmtId="0" fontId="19" fillId="9" borderId="29" xfId="0" applyFont="1" applyFill="1" applyBorder="1"/>
    <xf numFmtId="0" fontId="2" fillId="2" borderId="0" xfId="0" applyFont="1" applyFill="1"/>
    <xf numFmtId="0" fontId="0" fillId="0" borderId="0" xfId="0" applyNumberFormat="1"/>
    <xf numFmtId="10" fontId="0" fillId="0" borderId="0" xfId="0" applyNumberFormat="1"/>
    <xf numFmtId="14" fontId="19" fillId="2" borderId="1" xfId="0" applyNumberFormat="1" applyFont="1" applyFill="1" applyBorder="1"/>
    <xf numFmtId="14" fontId="0" fillId="8" borderId="1" xfId="0" applyNumberFormat="1" applyFill="1" applyBorder="1"/>
    <xf numFmtId="0" fontId="0" fillId="5" borderId="32" xfId="0" applyFill="1" applyBorder="1" applyAlignment="1">
      <alignment horizontal="center"/>
    </xf>
  </cellXfs>
  <cellStyles count="2">
    <cellStyle name="Normal" xfId="0" builtinId="0"/>
    <cellStyle name="Normal 2" xfId="1" xr:uid="{FFA75BD4-4179-43C3-B0A8-C501D7B28DF9}"/>
  </cellStyles>
  <dxfs count="11">
    <dxf>
      <numFmt numFmtId="172" formatCode="0.0,\ &quot;K&quot;"/>
    </dxf>
    <dxf>
      <numFmt numFmtId="173" formatCode="0.0,,\ &quot;M&quot;"/>
    </dxf>
    <dxf>
      <numFmt numFmtId="174" formatCode="0.0,,,\ &quot;B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 [$₹-4009]\ * #,##0.00_ ;_ [$₹-4009]\ * \-#,##0.00_ ;_ [$₹-4009]\ * &quot;-&quot;??_ ;_ @_ "/>
    </dxf>
    <dxf>
      <numFmt numFmtId="171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[0]!Months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[0]!Sales</c:f>
              <c:numCache>
                <c:formatCode>General</c:formatCode>
                <c:ptCount val="10"/>
                <c:pt idx="0">
                  <c:v>342</c:v>
                </c:pt>
                <c:pt idx="1">
                  <c:v>290</c:v>
                </c:pt>
                <c:pt idx="2">
                  <c:v>219</c:v>
                </c:pt>
                <c:pt idx="3">
                  <c:v>319</c:v>
                </c:pt>
                <c:pt idx="4">
                  <c:v>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E-4F0D-9040-EB04D5D52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764128"/>
        <c:axId val="714764608"/>
      </c:lineChart>
      <c:catAx>
        <c:axId val="7147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64608"/>
        <c:crosses val="autoZero"/>
        <c:auto val="1"/>
        <c:lblAlgn val="ctr"/>
        <c:lblOffset val="100"/>
        <c:noMultiLvlLbl val="0"/>
      </c:catAx>
      <c:valAx>
        <c:axId val="7147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[0]!Dyn_Months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[0]!Dyn_Sales</c:f>
              <c:numCache>
                <c:formatCode>General</c:formatCode>
                <c:ptCount val="10"/>
                <c:pt idx="0">
                  <c:v>342</c:v>
                </c:pt>
                <c:pt idx="1">
                  <c:v>290</c:v>
                </c:pt>
                <c:pt idx="2">
                  <c:v>219</c:v>
                </c:pt>
                <c:pt idx="3">
                  <c:v>319</c:v>
                </c:pt>
                <c:pt idx="4">
                  <c:v>789</c:v>
                </c:pt>
                <c:pt idx="5">
                  <c:v>890</c:v>
                </c:pt>
                <c:pt idx="6">
                  <c:v>900</c:v>
                </c:pt>
                <c:pt idx="7">
                  <c:v>456</c:v>
                </c:pt>
                <c:pt idx="8">
                  <c:v>0</c:v>
                </c:pt>
                <c:pt idx="9">
                  <c:v>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A-45ED-8E0F-542A9530D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910784"/>
        <c:axId val="447909344"/>
      </c:lineChart>
      <c:catAx>
        <c:axId val="4479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9344"/>
        <c:crosses val="autoZero"/>
        <c:auto val="1"/>
        <c:lblAlgn val="ctr"/>
        <c:lblOffset val="100"/>
        <c:noMultiLvlLbl val="0"/>
      </c:catAx>
      <c:valAx>
        <c:axId val="4479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'Class-5'!$E$114</c:f>
              <c:strCache>
                <c:ptCount val="1"/>
                <c:pt idx="0">
                  <c:v>Sales($M)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'Class-5'!$D$115:$D$125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'Class-5'!$E$115:$E$125</c:f>
              <c:numCache>
                <c:formatCode>General</c:formatCode>
                <c:ptCount val="11"/>
                <c:pt idx="0">
                  <c:v>342</c:v>
                </c:pt>
                <c:pt idx="1">
                  <c:v>290</c:v>
                </c:pt>
                <c:pt idx="2">
                  <c:v>219</c:v>
                </c:pt>
                <c:pt idx="3">
                  <c:v>319</c:v>
                </c:pt>
                <c:pt idx="4">
                  <c:v>789</c:v>
                </c:pt>
                <c:pt idx="5">
                  <c:v>890</c:v>
                </c:pt>
                <c:pt idx="6">
                  <c:v>900</c:v>
                </c:pt>
                <c:pt idx="7">
                  <c:v>456</c:v>
                </c:pt>
                <c:pt idx="8">
                  <c:v>0</c:v>
                </c:pt>
                <c:pt idx="9">
                  <c:v>789</c:v>
                </c:pt>
                <c:pt idx="10">
                  <c:v>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F-48D9-948A-0AB41FE25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00256"/>
        <c:axId val="943900736"/>
      </c:lineChart>
      <c:catAx>
        <c:axId val="9439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0736"/>
        <c:crosses val="autoZero"/>
        <c:auto val="1"/>
        <c:lblAlgn val="ctr"/>
        <c:lblOffset val="100"/>
        <c:noMultiLvlLbl val="0"/>
      </c:catAx>
      <c:valAx>
        <c:axId val="94390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82062</xdr:colOff>
      <xdr:row>61</xdr:row>
      <xdr:rowOff>93784</xdr:rowOff>
    </xdr:from>
    <xdr:to>
      <xdr:col>3</xdr:col>
      <xdr:colOff>592015</xdr:colOff>
      <xdr:row>61</xdr:row>
      <xdr:rowOff>93784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AE8B8B2-BE87-E599-56EC-56936C0A6BD8}"/>
            </a:ext>
          </a:extLst>
        </xdr:cNvPr>
        <xdr:cNvCxnSpPr/>
      </xdr:nvCxnSpPr>
      <xdr:spPr>
        <a:xfrm>
          <a:off x="2215662" y="11224846"/>
          <a:ext cx="50995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64478</xdr:colOff>
      <xdr:row>67</xdr:row>
      <xdr:rowOff>117230</xdr:rowOff>
    </xdr:from>
    <xdr:to>
      <xdr:col>3</xdr:col>
      <xdr:colOff>574431</xdr:colOff>
      <xdr:row>67</xdr:row>
      <xdr:rowOff>117230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4BB48F1-3A27-4BE0-8390-7015575A95B9}"/>
            </a:ext>
          </a:extLst>
        </xdr:cNvPr>
        <xdr:cNvCxnSpPr/>
      </xdr:nvCxnSpPr>
      <xdr:spPr>
        <a:xfrm>
          <a:off x="2198078" y="12338538"/>
          <a:ext cx="50995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52755</xdr:colOff>
      <xdr:row>77</xdr:row>
      <xdr:rowOff>82061</xdr:rowOff>
    </xdr:from>
    <xdr:to>
      <xdr:col>3</xdr:col>
      <xdr:colOff>562708</xdr:colOff>
      <xdr:row>77</xdr:row>
      <xdr:rowOff>82061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26F5FDF-34B1-40BF-AABC-DEBA74C9F9C8}"/>
            </a:ext>
          </a:extLst>
        </xdr:cNvPr>
        <xdr:cNvCxnSpPr/>
      </xdr:nvCxnSpPr>
      <xdr:spPr>
        <a:xfrm>
          <a:off x="2332893" y="13393615"/>
          <a:ext cx="50995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747346</xdr:colOff>
      <xdr:row>79</xdr:row>
      <xdr:rowOff>158262</xdr:rowOff>
    </xdr:from>
    <xdr:to>
      <xdr:col>9</xdr:col>
      <xdr:colOff>211015</xdr:colOff>
      <xdr:row>89</xdr:row>
      <xdr:rowOff>128953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E69880-6293-0F3E-1141-04A28600A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1595782</xdr:colOff>
      <xdr:row>99</xdr:row>
      <xdr:rowOff>33131</xdr:rowOff>
    </xdr:from>
    <xdr:to>
      <xdr:col>13</xdr:col>
      <xdr:colOff>110435</xdr:colOff>
      <xdr:row>109</xdr:row>
      <xdr:rowOff>134731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8D1808-9409-20DD-ABF7-F7BDBAC88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1028095</xdr:colOff>
      <xdr:row>111</xdr:row>
      <xdr:rowOff>139095</xdr:rowOff>
    </xdr:from>
    <xdr:to>
      <xdr:col>13</xdr:col>
      <xdr:colOff>278190</xdr:colOff>
      <xdr:row>122</xdr:row>
      <xdr:rowOff>66525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5CBC4D-3BC3-1050-4C34-1C737962A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98.497742708336" createdVersion="8" refreshedVersion="8" minRefreshableVersion="3" recordCount="9" xr:uid="{D89CE709-ACB2-4683-BC8F-1F6C848C4CFD}">
  <cacheSource type="worksheet">
    <worksheetSource ref="B92:F101" sheet="Class-4"/>
  </cacheSource>
  <cacheFields count="5">
    <cacheField name="Category" numFmtId="0">
      <sharedItems count="3">
        <s v="Condiments"/>
        <s v="Meat/Poultry"/>
        <s v="Grain/Cereal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753" maxValue="900"/>
    </cacheField>
    <cacheField name="Ship to Country" numFmtId="0">
      <sharedItems/>
    </cacheField>
    <cacheField name="Date of Purchase" numFmtId="14">
      <sharedItems containsSemiMixedTypes="0" containsNonDate="0" containsDate="1" containsString="0" minDate="2014-04-03T00:00:00" maxDate="2015-11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98.503282754631" createdVersion="8" refreshedVersion="8" minRefreshableVersion="3" recordCount="10" xr:uid="{2842DE86-6256-48D0-B5DA-7124518251A5}">
  <cacheSource type="worksheet">
    <worksheetSource ref="B92:F102" sheet="Class-4"/>
  </cacheSource>
  <cacheFields count="5">
    <cacheField name="Category" numFmtId="0">
      <sharedItems count="4">
        <s v="Condiments"/>
        <s v="Meat/Poultry"/>
        <s v="Grain/Cereals"/>
        <s v="Wines and Beer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753" maxValue="900"/>
    </cacheField>
    <cacheField name="Ship to Country" numFmtId="0">
      <sharedItems/>
    </cacheField>
    <cacheField name="Date of Purchase" numFmtId="14">
      <sharedItems containsSemiMixedTypes="0" containsNonDate="0" containsDate="1" containsString="0" minDate="2014-04-03T00:00:00" maxDate="2015-11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98.505147685188" createdVersion="8" refreshedVersion="8" minRefreshableVersion="3" recordCount="698" xr:uid="{35996E03-0F56-4364-B171-3EA2BE6D672F}">
  <cacheSource type="worksheet">
    <worksheetSource ref="A1:F699" sheet="Raw Data"/>
  </cacheSource>
  <cacheFields count="9">
    <cacheField name="Category" numFmtId="0">
      <sharedItems count="8">
        <s v="Condiments"/>
        <s v="Meat/Poultry"/>
        <s v="Grain/Cereals"/>
        <s v="Wines and Beer"/>
        <s v="Beverages"/>
        <s v="Confections"/>
        <s v="Seafood"/>
        <s v="Dairy Products"/>
      </sharedItems>
    </cacheField>
    <cacheField name="Product" numFmtId="0">
      <sharedItems count="81">
        <s v="French's"/>
        <s v="Shelton Poultry Produce"/>
        <s v="Banquet Chicken"/>
        <s v="Mang Tomas"/>
        <s v="Heart to Heart"/>
        <s v="Trappey's Hot Sauce"/>
        <s v="Sultana Bran"/>
        <s v="Toledano Wings"/>
        <s v="Heiniken"/>
        <s v="Sjora"/>
        <s v="Fantails"/>
        <s v="Bassett's Sour Squirms"/>
        <s v="Chicken of the Sea"/>
        <s v="Reese's Puffs"/>
        <s v="Homepride"/>
        <s v="Something Fishy"/>
        <s v="Ecco Domani"/>
        <s v="Rose's Marmalade"/>
        <s v="Bovril"/>
        <s v="Granola"/>
        <s v="Horlicks"/>
        <s v="Barleycup"/>
        <s v="PDQ Chocolate"/>
        <s v="Mintolas"/>
        <s v="Gold Spot"/>
        <s v="Pepperoni Pit"/>
        <s v="Kentucky Common Beer"/>
        <s v="Nutrimato"/>
        <s v="Chocolate Oat Crunch Life"/>
        <s v="Cravendale"/>
        <s v="Plochman's"/>
        <s v="Gale's Curd"/>
        <s v="Bart's Peanut Butter Chocolate Crunch"/>
        <s v="Maull's barbecue sauce"/>
        <s v="Lipton Brisk"/>
        <s v="Pilgrims Pride"/>
        <s v="Lobsters by the Bay"/>
        <s v="Pot Pie"/>
        <s v="Jack's Shrimp"/>
        <s v="Heinz Tomato Ketchup"/>
        <s v="Budweiser"/>
        <s v="Fish n Feed"/>
        <s v="Choco Crunch"/>
        <s v="Country Dale Milk"/>
        <s v="Richards Wild Irish Rose"/>
        <s v="Buzz Blasts"/>
        <s v="Empire Kosher Poultry"/>
        <s v="Gold n' Plump"/>
        <s v="Ferrari Spumante"/>
        <s v="Honey Bunches"/>
        <s v="Milo"/>
        <s v="Go Lean Cereal (Crunch)"/>
        <s v="Benco Instant Choco Drink"/>
        <s v="Fizz-wiz"/>
        <s v="PJ's Smoothies"/>
        <s v="McCowans"/>
        <s v="Chivers"/>
        <s v="Barbers Eggs"/>
        <s v="Carlsberg"/>
        <s v="Grape Nut Flakes"/>
        <s v="Freddo"/>
        <s v="Wrigley's Chewing Gum"/>
        <s v="Yog-Active"/>
        <s v="Gooey Logs"/>
        <s v="Puff"/>
        <s v="Nestle Double Berry"/>
        <s v="Aromat"/>
        <s v="Double Dip Sherbet"/>
        <s v="Zacky Chicken"/>
        <s v="Lockets"/>
        <s v="Hartley's Jam"/>
        <s v="Corona"/>
        <s v="Sun-Pat Peanut Butter"/>
        <s v="Rice Krispies"/>
        <s v="Ovaltine"/>
        <s v="Tavernello"/>
        <s v="Gentleman's Relish"/>
        <s v="Refreshers Gums"/>
        <s v="Blue Nun"/>
        <s v="The Evil Monk"/>
        <s v="Nut 'n Honey"/>
      </sharedItems>
    </cacheField>
    <cacheField name="Sales" numFmtId="0">
      <sharedItems containsSemiMixedTypes="0" containsString="0" containsNumber="1" containsInteger="1" minValue="748" maxValue="3256"/>
    </cacheField>
    <cacheField name="Ship to Country" numFmtId="0">
      <sharedItems/>
    </cacheField>
    <cacheField name="Date of Purchase" numFmtId="14">
      <sharedItems containsSemiMixedTypes="0" containsNonDate="0" containsDate="1" containsString="0" minDate="2014-01-02T00:00:00" maxDate="2015-12-29T00:00:00" count="431">
        <d v="2015-03-06T00:00:00"/>
        <d v="2014-04-03T00:00:00"/>
        <d v="2015-02-07T00:00:00"/>
        <d v="2015-11-16T00:00:00"/>
        <d v="2015-10-23T00:00:00"/>
        <d v="2014-12-28T00:00:00"/>
        <d v="2015-04-02T00:00:00"/>
        <d v="2014-08-19T00:00:00"/>
        <d v="2015-08-25T00:00:00"/>
        <d v="2014-10-08T00:00:00"/>
        <d v="2015-07-23T00:00:00"/>
        <d v="2015-05-16T00:00:00"/>
        <d v="2015-03-14T00:00:00"/>
        <d v="2014-09-07T00:00:00"/>
        <d v="2015-01-18T00:00:00"/>
        <d v="2015-12-14T00:00:00"/>
        <d v="2015-06-03T00:00:00"/>
        <d v="2014-02-26T00:00:00"/>
        <d v="2014-02-07T00:00:00"/>
        <d v="2015-07-19T00:00:00"/>
        <d v="2014-12-22T00:00:00"/>
        <d v="2014-09-23T00:00:00"/>
        <d v="2014-04-20T00:00:00"/>
        <d v="2015-10-13T00:00:00"/>
        <d v="2015-05-23T00:00:00"/>
        <d v="2015-11-20T00:00:00"/>
        <d v="2014-05-10T00:00:00"/>
        <d v="2014-04-04T00:00:00"/>
        <d v="2015-12-24T00:00:00"/>
        <d v="2014-12-10T00:00:00"/>
        <d v="2015-05-06T00:00:00"/>
        <d v="2015-10-05T00:00:00"/>
        <d v="2015-03-26T00:00:00"/>
        <d v="2014-05-14T00:00:00"/>
        <d v="2015-12-08T00:00:00"/>
        <d v="2015-02-05T00:00:00"/>
        <d v="2015-11-02T00:00:00"/>
        <d v="2014-02-11T00:00:00"/>
        <d v="2014-11-19T00:00:00"/>
        <d v="2014-11-21T00:00:00"/>
        <d v="2015-12-28T00:00:00"/>
        <d v="2015-02-15T00:00:00"/>
        <d v="2015-01-04T00:00:00"/>
        <d v="2015-03-17T00:00:00"/>
        <d v="2014-04-16T00:00:00"/>
        <d v="2015-11-27T00:00:00"/>
        <d v="2014-07-08T00:00:00"/>
        <d v="2015-01-05T00:00:00"/>
        <d v="2015-07-07T00:00:00"/>
        <d v="2014-01-07T00:00:00"/>
        <d v="2014-08-07T00:00:00"/>
        <d v="2014-12-13T00:00:00"/>
        <d v="2015-10-20T00:00:00"/>
        <d v="2015-02-25T00:00:00"/>
        <d v="2015-02-17T00:00:00"/>
        <d v="2015-04-23T00:00:00"/>
        <d v="2015-08-03T00:00:00"/>
        <d v="2015-12-13T00:00:00"/>
        <d v="2014-12-23T00:00:00"/>
        <d v="2014-04-12T00:00:00"/>
        <d v="2015-02-04T00:00:00"/>
        <d v="2014-08-09T00:00:00"/>
        <d v="2015-11-14T00:00:00"/>
        <d v="2015-12-01T00:00:00"/>
        <d v="2015-06-19T00:00:00"/>
        <d v="2015-05-20T00:00:00"/>
        <d v="2014-07-22T00:00:00"/>
        <d v="2014-02-10T00:00:00"/>
        <d v="2015-07-22T00:00:00"/>
        <d v="2015-01-25T00:00:00"/>
        <d v="2015-12-09T00:00:00"/>
        <d v="2015-05-12T00:00:00"/>
        <d v="2015-03-02T00:00:00"/>
        <d v="2015-04-09T00:00:00"/>
        <d v="2015-09-18T00:00:00"/>
        <d v="2014-05-16T00:00:00"/>
        <d v="2014-07-18T00:00:00"/>
        <d v="2014-12-08T00:00:00"/>
        <d v="2015-01-13T00:00:00"/>
        <d v="2014-05-20T00:00:00"/>
        <d v="2014-02-18T00:00:00"/>
        <d v="2015-09-07T00:00:00"/>
        <d v="2015-06-09T00:00:00"/>
        <d v="2014-09-03T00:00:00"/>
        <d v="2015-10-24T00:00:00"/>
        <d v="2015-12-07T00:00:00"/>
        <d v="2014-12-26T00:00:00"/>
        <d v="2015-01-28T00:00:00"/>
        <d v="2014-11-09T00:00:00"/>
        <d v="2015-09-03T00:00:00"/>
        <d v="2014-04-23T00:00:00"/>
        <d v="2015-08-28T00:00:00"/>
        <d v="2014-12-15T00:00:00"/>
        <d v="2015-10-14T00:00:00"/>
        <d v="2014-02-20T00:00:00"/>
        <d v="2015-07-02T00:00:00"/>
        <d v="2015-01-10T00:00:00"/>
        <d v="2014-06-05T00:00:00"/>
        <d v="2015-06-13T00:00:00"/>
        <d v="2014-11-20T00:00:00"/>
        <d v="2014-05-09T00:00:00"/>
        <d v="2015-10-15T00:00:00"/>
        <d v="2014-07-19T00:00:00"/>
        <d v="2014-02-21T00:00:00"/>
        <d v="2014-02-17T00:00:00"/>
        <d v="2014-04-13T00:00:00"/>
        <d v="2015-08-05T00:00:00"/>
        <d v="2015-11-06T00:00:00"/>
        <d v="2015-02-18T00:00:00"/>
        <d v="2014-08-17T00:00:00"/>
        <d v="2014-12-07T00:00:00"/>
        <d v="2015-11-01T00:00:00"/>
        <d v="2014-02-16T00:00:00"/>
        <d v="2015-03-22T00:00:00"/>
        <d v="2014-06-16T00:00:00"/>
        <d v="2014-04-25T00:00:00"/>
        <d v="2014-07-01T00:00:00"/>
        <d v="2014-03-20T00:00:00"/>
        <d v="2014-12-27T00:00:00"/>
        <d v="2014-09-16T00:00:00"/>
        <d v="2015-04-25T00:00:00"/>
        <d v="2015-05-04T00:00:00"/>
        <d v="2015-03-16T00:00:00"/>
        <d v="2015-02-16T00:00:00"/>
        <d v="2014-04-08T00:00:00"/>
        <d v="2014-05-05T00:00:00"/>
        <d v="2015-04-28T00:00:00"/>
        <d v="2015-07-01T00:00:00"/>
        <d v="2015-03-15T00:00:00"/>
        <d v="2015-05-10T00:00:00"/>
        <d v="2015-04-08T00:00:00"/>
        <d v="2014-05-11T00:00:00"/>
        <d v="2014-12-02T00:00:00"/>
        <d v="2015-05-09T00:00:00"/>
        <d v="2014-08-20T00:00:00"/>
        <d v="2015-08-18T00:00:00"/>
        <d v="2014-02-05T00:00:00"/>
        <d v="2015-03-07T00:00:00"/>
        <d v="2015-08-27T00:00:00"/>
        <d v="2014-05-07T00:00:00"/>
        <d v="2014-06-10T00:00:00"/>
        <d v="2014-03-02T00:00:00"/>
        <d v="2014-11-12T00:00:00"/>
        <d v="2015-03-24T00:00:00"/>
        <d v="2015-08-24T00:00:00"/>
        <d v="2015-05-19T00:00:00"/>
        <d v="2015-09-22T00:00:00"/>
        <d v="2014-07-04T00:00:00"/>
        <d v="2014-05-25T00:00:00"/>
        <d v="2014-05-18T00:00:00"/>
        <d v="2015-06-14T00:00:00"/>
        <d v="2015-01-16T00:00:00"/>
        <d v="2014-12-21T00:00:00"/>
        <d v="2015-06-05T00:00:00"/>
        <d v="2015-06-08T00:00:00"/>
        <d v="2014-01-22T00:00:00"/>
        <d v="2014-06-25T00:00:00"/>
        <d v="2015-06-17T00:00:00"/>
        <d v="2014-06-07T00:00:00"/>
        <d v="2014-08-26T00:00:00"/>
        <d v="2014-02-25T00:00:00"/>
        <d v="2014-06-27T00:00:00"/>
        <d v="2014-12-17T00:00:00"/>
        <d v="2014-09-05T00:00:00"/>
        <d v="2014-09-10T00:00:00"/>
        <d v="2014-01-26T00:00:00"/>
        <d v="2014-09-12T00:00:00"/>
        <d v="2015-02-21T00:00:00"/>
        <d v="2014-08-11T00:00:00"/>
        <d v="2015-08-13T00:00:00"/>
        <d v="2015-09-08T00:00:00"/>
        <d v="2014-03-07T00:00:00"/>
        <d v="2014-02-19T00:00:00"/>
        <d v="2015-04-21T00:00:00"/>
        <d v="2014-12-20T00:00:00"/>
        <d v="2015-09-09T00:00:00"/>
        <d v="2015-05-22T00:00:00"/>
        <d v="2014-05-02T00:00:00"/>
        <d v="2015-06-04T00:00:00"/>
        <d v="2015-11-24T00:00:00"/>
        <d v="2014-04-15T00:00:00"/>
        <d v="2015-12-21T00:00:00"/>
        <d v="2015-04-12T00:00:00"/>
        <d v="2014-10-26T00:00:00"/>
        <d v="2015-12-02T00:00:00"/>
        <d v="2014-05-15T00:00:00"/>
        <d v="2015-07-11T00:00:00"/>
        <d v="2014-08-27T00:00:00"/>
        <d v="2014-08-12T00:00:00"/>
        <d v="2014-06-13T00:00:00"/>
        <d v="2015-08-04T00:00:00"/>
        <d v="2014-01-04T00:00:00"/>
        <d v="2014-02-24T00:00:00"/>
        <d v="2014-06-19T00:00:00"/>
        <d v="2014-11-10T00:00:00"/>
        <d v="2015-06-26T00:00:00"/>
        <d v="2015-11-12T00:00:00"/>
        <d v="2015-07-28T00:00:00"/>
        <d v="2014-10-17T00:00:00"/>
        <d v="2015-06-27T00:00:00"/>
        <d v="2014-10-18T00:00:00"/>
        <d v="2014-04-27T00:00:00"/>
        <d v="2014-07-26T00:00:00"/>
        <d v="2014-09-22T00:00:00"/>
        <d v="2015-07-08T00:00:00"/>
        <d v="2014-10-21T00:00:00"/>
        <d v="2015-03-10T00:00:00"/>
        <d v="2015-11-23T00:00:00"/>
        <d v="2014-05-17T00:00:00"/>
        <d v="2014-03-01T00:00:00"/>
        <d v="2014-09-21T00:00:00"/>
        <d v="2014-01-05T00:00:00"/>
        <d v="2014-08-14T00:00:00"/>
        <d v="2015-07-10T00:00:00"/>
        <d v="2015-05-08T00:00:00"/>
        <d v="2014-03-12T00:00:00"/>
        <d v="2015-03-13T00:00:00"/>
        <d v="2015-10-19T00:00:00"/>
        <d v="2014-08-03T00:00:00"/>
        <d v="2014-08-22T00:00:00"/>
        <d v="2015-07-13T00:00:00"/>
        <d v="2015-03-04T00:00:00"/>
        <d v="2015-05-13T00:00:00"/>
        <d v="2014-08-24T00:00:00"/>
        <d v="2014-06-28T00:00:00"/>
        <d v="2014-08-04T00:00:00"/>
        <d v="2015-07-26T00:00:00"/>
        <d v="2015-08-10T00:00:00"/>
        <d v="2015-12-12T00:00:00"/>
        <d v="2014-10-15T00:00:00"/>
        <d v="2014-10-03T00:00:00"/>
        <d v="2015-03-08T00:00:00"/>
        <d v="2015-01-24T00:00:00"/>
        <d v="2014-08-08T00:00:00"/>
        <d v="2014-12-18T00:00:00"/>
        <d v="2015-01-02T00:00:00"/>
        <d v="2015-11-17T00:00:00"/>
        <d v="2015-02-09T00:00:00"/>
        <d v="2015-06-21T00:00:00"/>
        <d v="2015-07-21T00:00:00"/>
        <d v="2015-02-03T00:00:00"/>
        <d v="2015-01-07T00:00:00"/>
        <d v="2015-01-09T00:00:00"/>
        <d v="2014-05-03T00:00:00"/>
        <d v="2015-01-03T00:00:00"/>
        <d v="2015-07-20T00:00:00"/>
        <d v="2014-06-11T00:00:00"/>
        <d v="2014-08-05T00:00:00"/>
        <d v="2015-07-16T00:00:00"/>
        <d v="2015-08-09T00:00:00"/>
        <d v="2015-09-02T00:00:00"/>
        <d v="2015-05-14T00:00:00"/>
        <d v="2015-10-04T00:00:00"/>
        <d v="2015-06-10T00:00:00"/>
        <d v="2015-04-07T00:00:00"/>
        <d v="2015-04-15T00:00:00"/>
        <d v="2015-04-22T00:00:00"/>
        <d v="2015-03-11T00:00:00"/>
        <d v="2015-04-19T00:00:00"/>
        <d v="2015-08-21T00:00:00"/>
        <d v="2014-05-23T00:00:00"/>
        <d v="2014-02-13T00:00:00"/>
        <d v="2014-01-18T00:00:00"/>
        <d v="2014-10-14T00:00:00"/>
        <d v="2015-04-26T00:00:00"/>
        <d v="2014-10-05T00:00:00"/>
        <d v="2015-11-08T00:00:00"/>
        <d v="2014-09-13T00:00:00"/>
        <d v="2014-01-14T00:00:00"/>
        <d v="2015-05-03T00:00:00"/>
        <d v="2014-10-19T00:00:00"/>
        <d v="2015-11-09T00:00:00"/>
        <d v="2015-11-15T00:00:00"/>
        <d v="2015-06-18T00:00:00"/>
        <d v="2014-01-02T00:00:00"/>
        <d v="2015-10-17T00:00:00"/>
        <d v="2014-05-27T00:00:00"/>
        <d v="2014-03-28T00:00:00"/>
        <d v="2014-07-11T00:00:00"/>
        <d v="2015-07-24T00:00:00"/>
        <d v="2014-06-20T00:00:00"/>
        <d v="2015-08-08T00:00:00"/>
        <d v="2015-07-09T00:00:00"/>
        <d v="2014-02-27T00:00:00"/>
        <d v="2015-09-14T00:00:00"/>
        <d v="2015-10-03T00:00:00"/>
        <d v="2015-01-23T00:00:00"/>
        <d v="2014-09-04T00:00:00"/>
        <d v="2014-09-11T00:00:00"/>
        <d v="2014-11-01T00:00:00"/>
        <d v="2014-02-06T00:00:00"/>
        <d v="2014-11-18T00:00:00"/>
        <d v="2015-10-21T00:00:00"/>
        <d v="2014-07-21T00:00:00"/>
        <d v="2015-04-06T00:00:00"/>
        <d v="2015-04-04T00:00:00"/>
        <d v="2015-08-17T00:00:00"/>
        <d v="2014-12-12T00:00:00"/>
        <d v="2015-08-06T00:00:00"/>
        <d v="2014-02-22T00:00:00"/>
        <d v="2014-03-19T00:00:00"/>
        <d v="2014-09-20T00:00:00"/>
        <d v="2015-06-24T00:00:00"/>
        <d v="2015-06-28T00:00:00"/>
        <d v="2014-03-26T00:00:00"/>
        <d v="2015-11-22T00:00:00"/>
        <d v="2015-04-20T00:00:00"/>
        <d v="2015-02-28T00:00:00"/>
        <d v="2015-03-20T00:00:00"/>
        <d v="2014-04-05T00:00:00"/>
        <d v="2014-02-15T00:00:00"/>
        <d v="2014-03-25T00:00:00"/>
        <d v="2014-12-09T00:00:00"/>
        <d v="2015-03-03T00:00:00"/>
        <d v="2014-03-06T00:00:00"/>
        <d v="2015-05-27T00:00:00"/>
        <d v="2014-07-20T00:00:00"/>
        <d v="2014-02-03T00:00:00"/>
        <d v="2015-09-06T00:00:00"/>
        <d v="2015-06-12T00:00:00"/>
        <d v="2014-04-24T00:00:00"/>
        <d v="2014-03-15T00:00:00"/>
        <d v="2014-04-28T00:00:00"/>
        <d v="2014-05-13T00:00:00"/>
        <d v="2015-11-11T00:00:00"/>
        <d v="2015-03-12T00:00:00"/>
        <d v="2015-05-15T00:00:00"/>
        <d v="2014-06-06T00:00:00"/>
        <d v="2014-10-22T00:00:00"/>
        <d v="2015-09-11T00:00:00"/>
        <d v="2015-02-01T00:00:00"/>
        <d v="2014-08-15T00:00:00"/>
        <d v="2015-06-25T00:00:00"/>
        <d v="2014-06-22T00:00:00"/>
        <d v="2014-06-03T00:00:00"/>
        <d v="2015-08-11T00:00:00"/>
        <d v="2015-10-25T00:00:00"/>
        <d v="2014-09-09T00:00:00"/>
        <d v="2014-08-21T00:00:00"/>
        <d v="2015-12-05T00:00:00"/>
        <d v="2014-10-09T00:00:00"/>
        <d v="2015-11-10T00:00:00"/>
        <d v="2015-04-03T00:00:00"/>
        <d v="2014-06-24T00:00:00"/>
        <d v="2015-08-12T00:00:00"/>
        <d v="2014-02-01T00:00:00"/>
        <d v="2014-03-13T00:00:00"/>
        <d v="2015-08-02T00:00:00"/>
        <d v="2014-10-27T00:00:00"/>
        <d v="2015-05-25T00:00:00"/>
        <d v="2014-04-17T00:00:00"/>
        <d v="2014-05-22T00:00:00"/>
        <d v="2014-10-04T00:00:00"/>
        <d v="2014-09-19T00:00:00"/>
        <d v="2015-12-18T00:00:00"/>
        <d v="2015-10-01T00:00:00"/>
        <d v="2015-05-26T00:00:00"/>
        <d v="2015-09-24T00:00:00"/>
        <d v="2015-08-16T00:00:00"/>
        <d v="2015-06-16T00:00:00"/>
        <d v="2014-11-08T00:00:00"/>
        <d v="2014-04-11T00:00:00"/>
        <d v="2015-12-04T00:00:00"/>
        <d v="2014-11-24T00:00:00"/>
        <d v="2014-08-23T00:00:00"/>
        <d v="2014-01-13T00:00:00"/>
        <d v="2014-10-11T00:00:00"/>
        <d v="2015-02-23T00:00:00"/>
        <d v="2014-02-09T00:00:00"/>
        <d v="2014-11-28T00:00:00"/>
        <d v="2014-05-06T00:00:00"/>
        <d v="2015-06-11T00:00:00"/>
        <d v="2014-09-25T00:00:00"/>
        <d v="2014-12-25T00:00:00"/>
        <d v="2014-08-18T00:00:00"/>
        <d v="2015-02-08T00:00:00"/>
        <d v="2015-07-17T00:00:00"/>
        <d v="2014-11-07T00:00:00"/>
        <d v="2014-10-13T00:00:00"/>
        <d v="2014-09-08T00:00:00"/>
        <d v="2015-04-27T00:00:00"/>
        <d v="2014-07-03T00:00:00"/>
        <d v="2015-09-19T00:00:00"/>
        <d v="2014-11-23T00:00:00"/>
        <d v="2015-11-13T00:00:00"/>
        <d v="2014-12-03T00:00:00"/>
        <d v="2015-07-27T00:00:00"/>
        <d v="2015-03-19T00:00:00"/>
        <d v="2015-01-20T00:00:00"/>
        <d v="2014-06-18T00:00:00"/>
        <d v="2015-06-23T00:00:00"/>
        <d v="2014-07-17T00:00:00"/>
        <d v="2014-08-06T00:00:00"/>
        <d v="2015-09-17T00:00:00"/>
        <d v="2014-10-06T00:00:00"/>
        <d v="2014-06-26T00:00:00"/>
        <d v="2015-09-12T00:00:00"/>
        <d v="2015-05-21T00:00:00"/>
        <d v="2014-06-08T00:00:00"/>
        <d v="2014-07-12T00:00:00"/>
        <d v="2015-06-06T00:00:00"/>
        <d v="2015-08-14T00:00:00"/>
        <d v="2015-07-03T00:00:00"/>
        <d v="2015-11-18T00:00:00"/>
        <d v="2015-12-19T00:00:00"/>
        <d v="2014-04-19T00:00:00"/>
        <d v="2015-06-02T00:00:00"/>
        <d v="2015-06-20T00:00:00"/>
        <d v="2015-01-12T00:00:00"/>
        <d v="2015-02-20T00:00:00"/>
        <d v="2014-01-28T00:00:00"/>
        <d v="2015-08-01T00:00:00"/>
        <d v="2015-03-09T00:00:00"/>
        <d v="2015-09-26T00:00:00"/>
        <d v="2014-03-08T00:00:00"/>
        <d v="2014-01-12T00:00:00"/>
        <d v="2014-04-21T00:00:00"/>
        <d v="2015-04-16T00:00:00"/>
        <d v="2014-10-01T00:00:00"/>
        <d v="2014-01-24T00:00:00"/>
        <d v="2015-11-25T00:00:00"/>
        <d v="2014-07-25T00:00:00"/>
        <d v="2014-03-14T00:00:00"/>
        <d v="2014-06-02T00:00:00"/>
        <d v="2015-05-28T00:00:00"/>
        <d v="2014-05-26T00:00:00"/>
        <d v="2014-11-06T00:00:00"/>
        <d v="2014-02-14T00:00:00"/>
        <d v="2014-03-21T00:00:00"/>
        <d v="2015-02-11T00:00:00"/>
        <d v="2014-05-01T00:00:00"/>
      </sharedItems>
      <fieldGroup par="8"/>
    </cacheField>
    <cacheField name="Quarter" numFmtId="0">
      <sharedItems count="4">
        <s v="Q1"/>
        <s v="Q2"/>
        <s v="Q4"/>
        <s v="Q3"/>
      </sharedItems>
    </cacheField>
    <cacheField name="Months (Date of Purchase)" numFmtId="0" databaseField="0">
      <fieldGroup base="4">
        <rangePr groupBy="months" startDate="2014-01-02T00:00:00" endDate="2015-12-29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15"/>
        </groupItems>
      </fieldGroup>
    </cacheField>
    <cacheField name="Quarters (Date of Purchase)" numFmtId="0" databaseField="0">
      <fieldGroup base="4">
        <rangePr groupBy="quarters" startDate="2014-01-02T00:00:00" endDate="2015-12-29T00:00:00"/>
        <groupItems count="6">
          <s v="&lt;02-01-2014"/>
          <s v="Qtr1"/>
          <s v="Qtr2"/>
          <s v="Qtr3"/>
          <s v="Qtr4"/>
          <s v="&gt;29-12-2015"/>
        </groupItems>
      </fieldGroup>
    </cacheField>
    <cacheField name="Years (Date of Purchase)" numFmtId="0" databaseField="0">
      <fieldGroup base="4">
        <rangePr groupBy="years" startDate="2014-01-02T00:00:00" endDate="2015-12-29T00:00:00"/>
        <groupItems count="4">
          <s v="&lt;02-01-2014"/>
          <s v="2014"/>
          <s v="2015"/>
          <s v="&gt;29-12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898.525247106481" createdVersion="8" refreshedVersion="8" minRefreshableVersion="3" recordCount="697" xr:uid="{394712E9-B208-4312-AB78-30EE7B9616A4}">
  <cacheSource type="worksheet">
    <worksheetSource ref="A1:F698" sheet="Raw Data"/>
  </cacheSource>
  <cacheFields count="10">
    <cacheField name="Category" numFmtId="0">
      <sharedItems count="8">
        <s v="Condiments"/>
        <s v="Meat/Poultry"/>
        <s v="Grain/Cereals"/>
        <s v="Wines and Beer"/>
        <s v="Beverages"/>
        <s v="Confections"/>
        <s v="Seafood"/>
        <s v="Dairy Products"/>
      </sharedItems>
      <fieldGroup par="6"/>
    </cacheField>
    <cacheField name="Product" numFmtId="0">
      <sharedItems/>
    </cacheField>
    <cacheField name="Sales" numFmtId="0">
      <sharedItems containsSemiMixedTypes="0" containsString="0" containsNumber="1" containsInteger="1" minValue="748" maxValue="3253" count="613">
        <n v="748"/>
        <n v="753"/>
        <n v="755"/>
        <n v="757"/>
        <n v="772"/>
        <n v="773"/>
        <n v="781"/>
        <n v="784"/>
        <n v="785"/>
        <n v="786"/>
        <n v="789"/>
        <n v="800"/>
        <n v="802"/>
        <n v="803"/>
        <n v="804"/>
        <n v="807"/>
        <n v="808"/>
        <n v="811"/>
        <n v="814"/>
        <n v="815"/>
        <n v="816"/>
        <n v="820"/>
        <n v="825"/>
        <n v="826"/>
        <n v="830"/>
        <n v="837"/>
        <n v="838"/>
        <n v="844"/>
        <n v="845"/>
        <n v="846"/>
        <n v="849"/>
        <n v="851"/>
        <n v="860"/>
        <n v="862"/>
        <n v="866"/>
        <n v="872"/>
        <n v="874"/>
        <n v="895"/>
        <n v="896"/>
        <n v="898"/>
        <n v="907"/>
        <n v="911"/>
        <n v="916"/>
        <n v="917"/>
        <n v="921"/>
        <n v="922"/>
        <n v="925"/>
        <n v="926"/>
        <n v="932"/>
        <n v="935"/>
        <n v="940"/>
        <n v="942"/>
        <n v="945"/>
        <n v="953"/>
        <n v="964"/>
        <n v="966"/>
        <n v="969"/>
        <n v="970"/>
        <n v="972"/>
        <n v="973"/>
        <n v="982"/>
        <n v="991"/>
        <n v="998"/>
        <n v="1004"/>
        <n v="1008"/>
        <n v="1010"/>
        <n v="1013"/>
        <n v="1015"/>
        <n v="1017"/>
        <n v="1018"/>
        <n v="1019"/>
        <n v="1022"/>
        <n v="1033"/>
        <n v="1034"/>
        <n v="1037"/>
        <n v="1041"/>
        <n v="1044"/>
        <n v="1047"/>
        <n v="1050"/>
        <n v="1054"/>
        <n v="1057"/>
        <n v="1059"/>
        <n v="1064"/>
        <n v="1065"/>
        <n v="1078"/>
        <n v="1079"/>
        <n v="1081"/>
        <n v="1083"/>
        <n v="1093"/>
        <n v="1095"/>
        <n v="1104"/>
        <n v="1111"/>
        <n v="1114"/>
        <n v="1115"/>
        <n v="1118"/>
        <n v="1122"/>
        <n v="1124"/>
        <n v="1128"/>
        <n v="1130"/>
        <n v="1131"/>
        <n v="1132"/>
        <n v="1139"/>
        <n v="1141"/>
        <n v="1149"/>
        <n v="1163"/>
        <n v="1164"/>
        <n v="1168"/>
        <n v="1172"/>
        <n v="1174"/>
        <n v="1194"/>
        <n v="1207"/>
        <n v="1212"/>
        <n v="1213"/>
        <n v="1224"/>
        <n v="1225"/>
        <n v="1227"/>
        <n v="1237"/>
        <n v="1243"/>
        <n v="1244"/>
        <n v="1250"/>
        <n v="1252"/>
        <n v="1253"/>
        <n v="1256"/>
        <n v="1268"/>
        <n v="1273"/>
        <n v="1275"/>
        <n v="1279"/>
        <n v="1282"/>
        <n v="1285"/>
        <n v="1286"/>
        <n v="1290"/>
        <n v="1293"/>
        <n v="1308"/>
        <n v="1310"/>
        <n v="1322"/>
        <n v="1328"/>
        <n v="1332"/>
        <n v="1334"/>
        <n v="1335"/>
        <n v="1339"/>
        <n v="1341"/>
        <n v="1342"/>
        <n v="1344"/>
        <n v="1349"/>
        <n v="1353"/>
        <n v="1363"/>
        <n v="1368"/>
        <n v="1379"/>
        <n v="1386"/>
        <n v="1388"/>
        <n v="1389"/>
        <n v="1391"/>
        <n v="1394"/>
        <n v="1395"/>
        <n v="1399"/>
        <n v="1403"/>
        <n v="1404"/>
        <n v="1405"/>
        <n v="1415"/>
        <n v="1416"/>
        <n v="1429"/>
        <n v="1431"/>
        <n v="1432"/>
        <n v="1435"/>
        <n v="1440"/>
        <n v="1446"/>
        <n v="1453"/>
        <n v="1459"/>
        <n v="1462"/>
        <n v="1465"/>
        <n v="1467"/>
        <n v="1475"/>
        <n v="1476"/>
        <n v="1479"/>
        <n v="1480"/>
        <n v="1481"/>
        <n v="1482"/>
        <n v="1485"/>
        <n v="1486"/>
        <n v="1509"/>
        <n v="1512"/>
        <n v="1517"/>
        <n v="1521"/>
        <n v="1523"/>
        <n v="1524"/>
        <n v="1525"/>
        <n v="1528"/>
        <n v="1530"/>
        <n v="1531"/>
        <n v="1535"/>
        <n v="1540"/>
        <n v="1541"/>
        <n v="1542"/>
        <n v="1557"/>
        <n v="1562"/>
        <n v="1566"/>
        <n v="1570"/>
        <n v="1572"/>
        <n v="1573"/>
        <n v="1579"/>
        <n v="1590"/>
        <n v="1592"/>
        <n v="1596"/>
        <n v="1597"/>
        <n v="1598"/>
        <n v="1599"/>
        <n v="1607"/>
        <n v="1617"/>
        <n v="1619"/>
        <n v="1621"/>
        <n v="1631"/>
        <n v="1640"/>
        <n v="1646"/>
        <n v="1647"/>
        <n v="1649"/>
        <n v="1651"/>
        <n v="1654"/>
        <n v="1656"/>
        <n v="1657"/>
        <n v="1661"/>
        <n v="1670"/>
        <n v="1674"/>
        <n v="1677"/>
        <n v="1682"/>
        <n v="1684"/>
        <n v="1690"/>
        <n v="1696"/>
        <n v="1697"/>
        <n v="1698"/>
        <n v="1701"/>
        <n v="1706"/>
        <n v="1707"/>
        <n v="1710"/>
        <n v="1711"/>
        <n v="1717"/>
        <n v="1726"/>
        <n v="1731"/>
        <n v="1732"/>
        <n v="1740"/>
        <n v="1741"/>
        <n v="1742"/>
        <n v="1746"/>
        <n v="1755"/>
        <n v="1756"/>
        <n v="1763"/>
        <n v="1770"/>
        <n v="1776"/>
        <n v="1780"/>
        <n v="1783"/>
        <n v="1784"/>
        <n v="1787"/>
        <n v="1791"/>
        <n v="1792"/>
        <n v="1793"/>
        <n v="1794"/>
        <n v="1809"/>
        <n v="1811"/>
        <n v="1813"/>
        <n v="1815"/>
        <n v="1819"/>
        <n v="1822"/>
        <n v="1834"/>
        <n v="1845"/>
        <n v="1849"/>
        <n v="1854"/>
        <n v="1862"/>
        <n v="1866"/>
        <n v="1869"/>
        <n v="1870"/>
        <n v="1871"/>
        <n v="1873"/>
        <n v="1880"/>
        <n v="1884"/>
        <n v="1886"/>
        <n v="1892"/>
        <n v="1893"/>
        <n v="1905"/>
        <n v="1912"/>
        <n v="1913"/>
        <n v="1919"/>
        <n v="1921"/>
        <n v="1930"/>
        <n v="1931"/>
        <n v="1938"/>
        <n v="1948"/>
        <n v="1951"/>
        <n v="1955"/>
        <n v="1962"/>
        <n v="1964"/>
        <n v="1966"/>
        <n v="1968"/>
        <n v="1970"/>
        <n v="1974"/>
        <n v="1976"/>
        <n v="1980"/>
        <n v="1981"/>
        <n v="1982"/>
        <n v="1991"/>
        <n v="1994"/>
        <n v="1996"/>
        <n v="1997"/>
        <n v="2000"/>
        <n v="2003"/>
        <n v="2007"/>
        <n v="2011"/>
        <n v="2013"/>
        <n v="2015"/>
        <n v="2019"/>
        <n v="2022"/>
        <n v="2024"/>
        <n v="2025"/>
        <n v="2028"/>
        <n v="2030"/>
        <n v="2031"/>
        <n v="2034"/>
        <n v="2037"/>
        <n v="2049"/>
        <n v="2055"/>
        <n v="2062"/>
        <n v="2070"/>
        <n v="2071"/>
        <n v="2074"/>
        <n v="2076"/>
        <n v="2078"/>
        <n v="2082"/>
        <n v="2083"/>
        <n v="2086"/>
        <n v="2087"/>
        <n v="2091"/>
        <n v="2093"/>
        <n v="2098"/>
        <n v="2102"/>
        <n v="2103"/>
        <n v="2105"/>
        <n v="2107"/>
        <n v="2110"/>
        <n v="2111"/>
        <n v="2120"/>
        <n v="2124"/>
        <n v="2130"/>
        <n v="2134"/>
        <n v="2135"/>
        <n v="2138"/>
        <n v="2151"/>
        <n v="2152"/>
        <n v="2153"/>
        <n v="2157"/>
        <n v="2158"/>
        <n v="2177"/>
        <n v="2178"/>
        <n v="2179"/>
        <n v="2180"/>
        <n v="2194"/>
        <n v="2196"/>
        <n v="2200"/>
        <n v="2203"/>
        <n v="2207"/>
        <n v="2211"/>
        <n v="2213"/>
        <n v="2214"/>
        <n v="2220"/>
        <n v="2221"/>
        <n v="2226"/>
        <n v="2227"/>
        <n v="2230"/>
        <n v="2234"/>
        <n v="2235"/>
        <n v="2236"/>
        <n v="2239"/>
        <n v="2240"/>
        <n v="2245"/>
        <n v="2246"/>
        <n v="2250"/>
        <n v="2251"/>
        <n v="2254"/>
        <n v="2260"/>
        <n v="2263"/>
        <n v="2266"/>
        <n v="2267"/>
        <n v="2275"/>
        <n v="2283"/>
        <n v="2296"/>
        <n v="2297"/>
        <n v="2298"/>
        <n v="2299"/>
        <n v="2305"/>
        <n v="2311"/>
        <n v="2312"/>
        <n v="2313"/>
        <n v="2317"/>
        <n v="2323"/>
        <n v="2326"/>
        <n v="2334"/>
        <n v="2337"/>
        <n v="2339"/>
        <n v="2348"/>
        <n v="2355"/>
        <n v="2356"/>
        <n v="2357"/>
        <n v="2361"/>
        <n v="2368"/>
        <n v="2369"/>
        <n v="2370"/>
        <n v="2379"/>
        <n v="2383"/>
        <n v="2385"/>
        <n v="2388"/>
        <n v="2390"/>
        <n v="2392"/>
        <n v="2401"/>
        <n v="2403"/>
        <n v="2405"/>
        <n v="2416"/>
        <n v="2417"/>
        <n v="2418"/>
        <n v="2426"/>
        <n v="2431"/>
        <n v="2433"/>
        <n v="2435"/>
        <n v="2443"/>
        <n v="2445"/>
        <n v="2447"/>
        <n v="2448"/>
        <n v="2450"/>
        <n v="2451"/>
        <n v="2455"/>
        <n v="2457"/>
        <n v="2464"/>
        <n v="2465"/>
        <n v="2470"/>
        <n v="2471"/>
        <n v="2477"/>
        <n v="2484"/>
        <n v="2485"/>
        <n v="2488"/>
        <n v="2493"/>
        <n v="2495"/>
        <n v="2503"/>
        <n v="2509"/>
        <n v="2514"/>
        <n v="2522"/>
        <n v="2524"/>
        <n v="2527"/>
        <n v="2528"/>
        <n v="2529"/>
        <n v="2532"/>
        <n v="2533"/>
        <n v="2544"/>
        <n v="2549"/>
        <n v="2552"/>
        <n v="2556"/>
        <n v="2558"/>
        <n v="2563"/>
        <n v="2566"/>
        <n v="2573"/>
        <n v="2574"/>
        <n v="2578"/>
        <n v="2586"/>
        <n v="2587"/>
        <n v="2589"/>
        <n v="2591"/>
        <n v="2603"/>
        <n v="2604"/>
        <n v="2606"/>
        <n v="2612"/>
        <n v="2621"/>
        <n v="2623"/>
        <n v="2626"/>
        <n v="2629"/>
        <n v="2632"/>
        <n v="2633"/>
        <n v="2638"/>
        <n v="2644"/>
        <n v="2645"/>
        <n v="2648"/>
        <n v="2650"/>
        <n v="2652"/>
        <n v="2670"/>
        <n v="2674"/>
        <n v="2675"/>
        <n v="2685"/>
        <n v="2688"/>
        <n v="2689"/>
        <n v="2691"/>
        <n v="2700"/>
        <n v="2702"/>
        <n v="2705"/>
        <n v="2709"/>
        <n v="2710"/>
        <n v="2721"/>
        <n v="2723"/>
        <n v="2734"/>
        <n v="2738"/>
        <n v="2740"/>
        <n v="2744"/>
        <n v="2748"/>
        <n v="2750"/>
        <n v="2752"/>
        <n v="2754"/>
        <n v="2756"/>
        <n v="2759"/>
        <n v="2760"/>
        <n v="2761"/>
        <n v="2762"/>
        <n v="2763"/>
        <n v="2764"/>
        <n v="2772"/>
        <n v="2777"/>
        <n v="2781"/>
        <n v="2783"/>
        <n v="2785"/>
        <n v="2796"/>
        <n v="2797"/>
        <n v="2801"/>
        <n v="2806"/>
        <n v="2818"/>
        <n v="2822"/>
        <n v="2824"/>
        <n v="2828"/>
        <n v="2845"/>
        <n v="2848"/>
        <n v="2849"/>
        <n v="2853"/>
        <n v="2861"/>
        <n v="2869"/>
        <n v="2878"/>
        <n v="2889"/>
        <n v="2893"/>
        <n v="2895"/>
        <n v="2903"/>
        <n v="2908"/>
        <n v="2913"/>
        <n v="2919"/>
        <n v="2925"/>
        <n v="2931"/>
        <n v="2934"/>
        <n v="2936"/>
        <n v="2938"/>
        <n v="2941"/>
        <n v="2943"/>
        <n v="2945"/>
        <n v="2946"/>
        <n v="2957"/>
        <n v="2961"/>
        <n v="2963"/>
        <n v="2966"/>
        <n v="2976"/>
        <n v="2978"/>
        <n v="2981"/>
        <n v="2983"/>
        <n v="2995"/>
        <n v="2996"/>
        <n v="3001"/>
        <n v="3004"/>
        <n v="3005"/>
        <n v="3009"/>
        <n v="3020"/>
        <n v="3033"/>
        <n v="3043"/>
        <n v="3044"/>
        <n v="3046"/>
        <n v="3049"/>
        <n v="3051"/>
        <n v="3060"/>
        <n v="3064"/>
        <n v="3068"/>
        <n v="3074"/>
        <n v="3075"/>
        <n v="3079"/>
        <n v="3086"/>
        <n v="3089"/>
        <n v="3090"/>
        <n v="3094"/>
        <n v="3095"/>
        <n v="3098"/>
        <n v="3104"/>
        <n v="3105"/>
        <n v="3112"/>
        <n v="3115"/>
        <n v="3119"/>
        <n v="3120"/>
        <n v="3124"/>
        <n v="3127"/>
        <n v="3131"/>
        <n v="3135"/>
        <n v="3137"/>
        <n v="3141"/>
        <n v="3145"/>
        <n v="3149"/>
        <n v="3156"/>
        <n v="3157"/>
        <n v="3158"/>
        <n v="3161"/>
        <n v="3176"/>
        <n v="3180"/>
        <n v="3182"/>
        <n v="3186"/>
        <n v="3193"/>
        <n v="3195"/>
        <n v="3199"/>
        <n v="3202"/>
        <n v="3208"/>
        <n v="3216"/>
        <n v="3221"/>
        <n v="3224"/>
        <n v="3225"/>
        <n v="3232"/>
        <n v="3235"/>
        <n v="3241"/>
        <n v="3244"/>
        <n v="3245"/>
        <n v="3251"/>
        <n v="3253"/>
      </sharedItems>
      <fieldGroup base="2">
        <rangePr autoStart="0" autoEnd="0" startNum="740" endNum="3260" groupInterval="500"/>
        <groupItems count="8">
          <s v="&lt;740"/>
          <s v="740-1239"/>
          <s v="1240-1739"/>
          <s v="1740-2239"/>
          <s v="2240-2739"/>
          <s v="2740-3239"/>
          <s v="3240-3739"/>
          <s v="&gt;3740"/>
        </groupItems>
      </fieldGroup>
    </cacheField>
    <cacheField name="Ship to Country" numFmtId="0">
      <sharedItems count="10">
        <s v="South Africa"/>
        <s v="Portugal"/>
        <s v="China"/>
        <s v="France"/>
        <s v="Australia"/>
        <s v="Brazil"/>
        <s v="Argentina"/>
        <s v="Ireland"/>
        <s v="Japan"/>
        <s v="India"/>
      </sharedItems>
    </cacheField>
    <cacheField name="Date of Purchase" numFmtId="14">
      <sharedItems containsSemiMixedTypes="0" containsNonDate="0" containsDate="1" containsString="0" minDate="2014-01-02T00:00:00" maxDate="2015-12-29T00:00:00" count="431">
        <d v="2015-03-06T00:00:00"/>
        <d v="2014-04-03T00:00:00"/>
        <d v="2015-02-07T00:00:00"/>
        <d v="2015-11-16T00:00:00"/>
        <d v="2015-10-23T00:00:00"/>
        <d v="2014-12-28T00:00:00"/>
        <d v="2015-04-02T00:00:00"/>
        <d v="2014-08-19T00:00:00"/>
        <d v="2015-08-25T00:00:00"/>
        <d v="2014-10-08T00:00:00"/>
        <d v="2015-07-23T00:00:00"/>
        <d v="2015-05-16T00:00:00"/>
        <d v="2015-03-14T00:00:00"/>
        <d v="2014-09-07T00:00:00"/>
        <d v="2015-01-18T00:00:00"/>
        <d v="2015-12-14T00:00:00"/>
        <d v="2015-06-03T00:00:00"/>
        <d v="2014-02-26T00:00:00"/>
        <d v="2014-02-07T00:00:00"/>
        <d v="2015-07-19T00:00:00"/>
        <d v="2014-12-22T00:00:00"/>
        <d v="2014-09-23T00:00:00"/>
        <d v="2014-04-20T00:00:00"/>
        <d v="2015-10-13T00:00:00"/>
        <d v="2015-05-23T00:00:00"/>
        <d v="2015-11-20T00:00:00"/>
        <d v="2014-05-10T00:00:00"/>
        <d v="2014-04-04T00:00:00"/>
        <d v="2015-12-24T00:00:00"/>
        <d v="2014-12-10T00:00:00"/>
        <d v="2015-05-06T00:00:00"/>
        <d v="2015-10-05T00:00:00"/>
        <d v="2015-03-26T00:00:00"/>
        <d v="2014-05-14T00:00:00"/>
        <d v="2015-12-08T00:00:00"/>
        <d v="2015-02-05T00:00:00"/>
        <d v="2015-11-02T00:00:00"/>
        <d v="2014-02-11T00:00:00"/>
        <d v="2014-11-19T00:00:00"/>
        <d v="2014-11-21T00:00:00"/>
        <d v="2015-12-28T00:00:00"/>
        <d v="2015-02-15T00:00:00"/>
        <d v="2015-01-04T00:00:00"/>
        <d v="2015-03-17T00:00:00"/>
        <d v="2014-04-16T00:00:00"/>
        <d v="2015-11-27T00:00:00"/>
        <d v="2014-07-08T00:00:00"/>
        <d v="2015-01-05T00:00:00"/>
        <d v="2015-07-07T00:00:00"/>
        <d v="2014-01-07T00:00:00"/>
        <d v="2014-08-07T00:00:00"/>
        <d v="2014-12-13T00:00:00"/>
        <d v="2015-10-20T00:00:00"/>
        <d v="2015-02-25T00:00:00"/>
        <d v="2015-02-17T00:00:00"/>
        <d v="2015-04-23T00:00:00"/>
        <d v="2015-08-03T00:00:00"/>
        <d v="2015-12-13T00:00:00"/>
        <d v="2014-12-23T00:00:00"/>
        <d v="2014-04-12T00:00:00"/>
        <d v="2015-02-04T00:00:00"/>
        <d v="2014-08-09T00:00:00"/>
        <d v="2015-11-14T00:00:00"/>
        <d v="2015-12-01T00:00:00"/>
        <d v="2015-06-19T00:00:00"/>
        <d v="2015-05-20T00:00:00"/>
        <d v="2014-07-22T00:00:00"/>
        <d v="2014-02-10T00:00:00"/>
        <d v="2015-07-22T00:00:00"/>
        <d v="2015-01-25T00:00:00"/>
        <d v="2015-12-09T00:00:00"/>
        <d v="2015-05-12T00:00:00"/>
        <d v="2015-03-02T00:00:00"/>
        <d v="2015-04-09T00:00:00"/>
        <d v="2015-09-18T00:00:00"/>
        <d v="2014-05-16T00:00:00"/>
        <d v="2014-07-18T00:00:00"/>
        <d v="2014-12-08T00:00:00"/>
        <d v="2015-01-13T00:00:00"/>
        <d v="2014-05-20T00:00:00"/>
        <d v="2014-02-18T00:00:00"/>
        <d v="2015-09-07T00:00:00"/>
        <d v="2015-06-09T00:00:00"/>
        <d v="2014-09-03T00:00:00"/>
        <d v="2015-10-24T00:00:00"/>
        <d v="2015-12-07T00:00:00"/>
        <d v="2014-12-26T00:00:00"/>
        <d v="2015-01-28T00:00:00"/>
        <d v="2014-11-09T00:00:00"/>
        <d v="2015-09-03T00:00:00"/>
        <d v="2014-04-23T00:00:00"/>
        <d v="2015-08-28T00:00:00"/>
        <d v="2014-12-15T00:00:00"/>
        <d v="2015-10-14T00:00:00"/>
        <d v="2014-02-20T00:00:00"/>
        <d v="2015-07-02T00:00:00"/>
        <d v="2015-01-10T00:00:00"/>
        <d v="2014-06-05T00:00:00"/>
        <d v="2015-06-13T00:00:00"/>
        <d v="2014-11-20T00:00:00"/>
        <d v="2014-05-09T00:00:00"/>
        <d v="2015-10-15T00:00:00"/>
        <d v="2014-07-19T00:00:00"/>
        <d v="2014-02-21T00:00:00"/>
        <d v="2014-02-17T00:00:00"/>
        <d v="2014-04-13T00:00:00"/>
        <d v="2015-08-05T00:00:00"/>
        <d v="2015-11-06T00:00:00"/>
        <d v="2015-02-18T00:00:00"/>
        <d v="2014-08-17T00:00:00"/>
        <d v="2014-12-07T00:00:00"/>
        <d v="2015-11-01T00:00:00"/>
        <d v="2014-02-16T00:00:00"/>
        <d v="2015-03-22T00:00:00"/>
        <d v="2014-06-16T00:00:00"/>
        <d v="2014-04-25T00:00:00"/>
        <d v="2014-07-01T00:00:00"/>
        <d v="2014-03-20T00:00:00"/>
        <d v="2014-12-27T00:00:00"/>
        <d v="2014-09-16T00:00:00"/>
        <d v="2015-04-25T00:00:00"/>
        <d v="2015-05-04T00:00:00"/>
        <d v="2015-03-16T00:00:00"/>
        <d v="2015-02-16T00:00:00"/>
        <d v="2014-04-08T00:00:00"/>
        <d v="2014-05-05T00:00:00"/>
        <d v="2015-04-28T00:00:00"/>
        <d v="2015-07-01T00:00:00"/>
        <d v="2015-03-15T00:00:00"/>
        <d v="2015-05-10T00:00:00"/>
        <d v="2015-04-08T00:00:00"/>
        <d v="2014-05-11T00:00:00"/>
        <d v="2014-12-02T00:00:00"/>
        <d v="2015-05-09T00:00:00"/>
        <d v="2014-08-20T00:00:00"/>
        <d v="2015-08-18T00:00:00"/>
        <d v="2014-02-05T00:00:00"/>
        <d v="2015-03-07T00:00:00"/>
        <d v="2015-08-27T00:00:00"/>
        <d v="2014-05-07T00:00:00"/>
        <d v="2014-06-10T00:00:00"/>
        <d v="2014-03-02T00:00:00"/>
        <d v="2014-11-12T00:00:00"/>
        <d v="2015-03-24T00:00:00"/>
        <d v="2015-08-24T00:00:00"/>
        <d v="2015-05-19T00:00:00"/>
        <d v="2015-09-22T00:00:00"/>
        <d v="2014-07-04T00:00:00"/>
        <d v="2014-05-25T00:00:00"/>
        <d v="2014-05-18T00:00:00"/>
        <d v="2015-06-14T00:00:00"/>
        <d v="2015-01-16T00:00:00"/>
        <d v="2014-12-21T00:00:00"/>
        <d v="2015-06-05T00:00:00"/>
        <d v="2015-06-08T00:00:00"/>
        <d v="2014-01-22T00:00:00"/>
        <d v="2014-06-25T00:00:00"/>
        <d v="2015-06-17T00:00:00"/>
        <d v="2014-06-07T00:00:00"/>
        <d v="2014-08-26T00:00:00"/>
        <d v="2014-02-25T00:00:00"/>
        <d v="2014-06-27T00:00:00"/>
        <d v="2014-12-17T00:00:00"/>
        <d v="2014-09-05T00:00:00"/>
        <d v="2014-09-10T00:00:00"/>
        <d v="2014-01-26T00:00:00"/>
        <d v="2014-09-12T00:00:00"/>
        <d v="2015-02-21T00:00:00"/>
        <d v="2014-08-11T00:00:00"/>
        <d v="2015-08-13T00:00:00"/>
        <d v="2015-09-08T00:00:00"/>
        <d v="2014-03-07T00:00:00"/>
        <d v="2014-02-19T00:00:00"/>
        <d v="2015-04-21T00:00:00"/>
        <d v="2014-12-20T00:00:00"/>
        <d v="2015-09-09T00:00:00"/>
        <d v="2015-05-22T00:00:00"/>
        <d v="2014-05-02T00:00:00"/>
        <d v="2015-06-04T00:00:00"/>
        <d v="2015-11-24T00:00:00"/>
        <d v="2014-04-15T00:00:00"/>
        <d v="2015-12-21T00:00:00"/>
        <d v="2015-04-12T00:00:00"/>
        <d v="2014-10-26T00:00:00"/>
        <d v="2015-12-02T00:00:00"/>
        <d v="2014-05-15T00:00:00"/>
        <d v="2015-07-11T00:00:00"/>
        <d v="2014-08-27T00:00:00"/>
        <d v="2014-08-12T00:00:00"/>
        <d v="2014-06-13T00:00:00"/>
        <d v="2015-08-04T00:00:00"/>
        <d v="2014-01-04T00:00:00"/>
        <d v="2014-02-24T00:00:00"/>
        <d v="2014-06-19T00:00:00"/>
        <d v="2014-11-10T00:00:00"/>
        <d v="2015-06-26T00:00:00"/>
        <d v="2015-11-12T00:00:00"/>
        <d v="2015-07-28T00:00:00"/>
        <d v="2014-10-17T00:00:00"/>
        <d v="2015-06-27T00:00:00"/>
        <d v="2014-10-18T00:00:00"/>
        <d v="2014-04-27T00:00:00"/>
        <d v="2014-07-26T00:00:00"/>
        <d v="2014-09-22T00:00:00"/>
        <d v="2015-07-08T00:00:00"/>
        <d v="2014-10-21T00:00:00"/>
        <d v="2015-03-10T00:00:00"/>
        <d v="2015-11-23T00:00:00"/>
        <d v="2014-05-17T00:00:00"/>
        <d v="2014-03-01T00:00:00"/>
        <d v="2014-09-21T00:00:00"/>
        <d v="2014-01-05T00:00:00"/>
        <d v="2014-08-14T00:00:00"/>
        <d v="2015-07-10T00:00:00"/>
        <d v="2015-05-08T00:00:00"/>
        <d v="2014-03-12T00:00:00"/>
        <d v="2015-03-13T00:00:00"/>
        <d v="2015-10-19T00:00:00"/>
        <d v="2014-08-03T00:00:00"/>
        <d v="2014-08-22T00:00:00"/>
        <d v="2015-07-13T00:00:00"/>
        <d v="2015-03-04T00:00:00"/>
        <d v="2015-05-13T00:00:00"/>
        <d v="2014-08-24T00:00:00"/>
        <d v="2014-06-28T00:00:00"/>
        <d v="2014-08-04T00:00:00"/>
        <d v="2015-07-26T00:00:00"/>
        <d v="2015-08-10T00:00:00"/>
        <d v="2015-12-12T00:00:00"/>
        <d v="2014-10-15T00:00:00"/>
        <d v="2014-10-03T00:00:00"/>
        <d v="2015-03-08T00:00:00"/>
        <d v="2015-01-24T00:00:00"/>
        <d v="2014-08-08T00:00:00"/>
        <d v="2014-12-18T00:00:00"/>
        <d v="2015-01-02T00:00:00"/>
        <d v="2015-11-17T00:00:00"/>
        <d v="2015-02-09T00:00:00"/>
        <d v="2015-06-21T00:00:00"/>
        <d v="2015-07-21T00:00:00"/>
        <d v="2015-02-03T00:00:00"/>
        <d v="2015-01-07T00:00:00"/>
        <d v="2015-01-09T00:00:00"/>
        <d v="2014-05-03T00:00:00"/>
        <d v="2015-01-03T00:00:00"/>
        <d v="2015-07-20T00:00:00"/>
        <d v="2014-06-11T00:00:00"/>
        <d v="2014-08-05T00:00:00"/>
        <d v="2015-07-16T00:00:00"/>
        <d v="2015-08-09T00:00:00"/>
        <d v="2015-09-02T00:00:00"/>
        <d v="2015-05-14T00:00:00"/>
        <d v="2015-10-04T00:00:00"/>
        <d v="2015-06-10T00:00:00"/>
        <d v="2015-04-07T00:00:00"/>
        <d v="2015-04-15T00:00:00"/>
        <d v="2015-04-22T00:00:00"/>
        <d v="2015-03-11T00:00:00"/>
        <d v="2015-04-19T00:00:00"/>
        <d v="2015-08-21T00:00:00"/>
        <d v="2014-05-23T00:00:00"/>
        <d v="2014-02-13T00:00:00"/>
        <d v="2014-01-18T00:00:00"/>
        <d v="2014-10-14T00:00:00"/>
        <d v="2015-04-26T00:00:00"/>
        <d v="2014-10-05T00:00:00"/>
        <d v="2015-11-08T00:00:00"/>
        <d v="2014-09-13T00:00:00"/>
        <d v="2014-01-14T00:00:00"/>
        <d v="2015-05-03T00:00:00"/>
        <d v="2014-10-19T00:00:00"/>
        <d v="2015-11-09T00:00:00"/>
        <d v="2015-11-15T00:00:00"/>
        <d v="2015-06-18T00:00:00"/>
        <d v="2014-01-02T00:00:00"/>
        <d v="2015-10-17T00:00:00"/>
        <d v="2014-05-27T00:00:00"/>
        <d v="2014-03-28T00:00:00"/>
        <d v="2014-07-11T00:00:00"/>
        <d v="2015-07-24T00:00:00"/>
        <d v="2014-06-20T00:00:00"/>
        <d v="2015-08-08T00:00:00"/>
        <d v="2015-07-09T00:00:00"/>
        <d v="2014-02-27T00:00:00"/>
        <d v="2015-09-14T00:00:00"/>
        <d v="2015-10-03T00:00:00"/>
        <d v="2015-01-23T00:00:00"/>
        <d v="2014-09-04T00:00:00"/>
        <d v="2014-09-11T00:00:00"/>
        <d v="2014-11-01T00:00:00"/>
        <d v="2014-02-06T00:00:00"/>
        <d v="2014-11-18T00:00:00"/>
        <d v="2015-10-21T00:00:00"/>
        <d v="2014-07-21T00:00:00"/>
        <d v="2015-04-06T00:00:00"/>
        <d v="2015-04-04T00:00:00"/>
        <d v="2015-08-17T00:00:00"/>
        <d v="2014-12-12T00:00:00"/>
        <d v="2015-08-06T00:00:00"/>
        <d v="2014-02-22T00:00:00"/>
        <d v="2014-03-19T00:00:00"/>
        <d v="2014-09-20T00:00:00"/>
        <d v="2015-06-24T00:00:00"/>
        <d v="2015-06-28T00:00:00"/>
        <d v="2014-03-26T00:00:00"/>
        <d v="2015-11-22T00:00:00"/>
        <d v="2015-04-20T00:00:00"/>
        <d v="2015-02-28T00:00:00"/>
        <d v="2015-03-20T00:00:00"/>
        <d v="2014-04-05T00:00:00"/>
        <d v="2014-02-15T00:00:00"/>
        <d v="2014-03-25T00:00:00"/>
        <d v="2014-12-09T00:00:00"/>
        <d v="2015-03-03T00:00:00"/>
        <d v="2014-03-06T00:00:00"/>
        <d v="2015-05-27T00:00:00"/>
        <d v="2014-07-20T00:00:00"/>
        <d v="2014-02-03T00:00:00"/>
        <d v="2015-09-06T00:00:00"/>
        <d v="2015-06-12T00:00:00"/>
        <d v="2014-04-24T00:00:00"/>
        <d v="2014-03-15T00:00:00"/>
        <d v="2014-04-28T00:00:00"/>
        <d v="2014-05-13T00:00:00"/>
        <d v="2015-11-11T00:00:00"/>
        <d v="2015-03-12T00:00:00"/>
        <d v="2015-05-15T00:00:00"/>
        <d v="2014-06-06T00:00:00"/>
        <d v="2014-10-22T00:00:00"/>
        <d v="2015-09-11T00:00:00"/>
        <d v="2015-02-01T00:00:00"/>
        <d v="2014-08-15T00:00:00"/>
        <d v="2015-06-25T00:00:00"/>
        <d v="2014-06-22T00:00:00"/>
        <d v="2014-06-03T00:00:00"/>
        <d v="2015-08-11T00:00:00"/>
        <d v="2015-10-25T00:00:00"/>
        <d v="2014-09-09T00:00:00"/>
        <d v="2014-08-21T00:00:00"/>
        <d v="2015-12-05T00:00:00"/>
        <d v="2014-10-09T00:00:00"/>
        <d v="2015-11-10T00:00:00"/>
        <d v="2015-04-03T00:00:00"/>
        <d v="2014-06-24T00:00:00"/>
        <d v="2015-08-12T00:00:00"/>
        <d v="2014-02-01T00:00:00"/>
        <d v="2014-03-13T00:00:00"/>
        <d v="2015-08-02T00:00:00"/>
        <d v="2014-10-27T00:00:00"/>
        <d v="2015-05-25T00:00:00"/>
        <d v="2014-04-17T00:00:00"/>
        <d v="2014-05-22T00:00:00"/>
        <d v="2014-10-04T00:00:00"/>
        <d v="2014-09-19T00:00:00"/>
        <d v="2015-12-18T00:00:00"/>
        <d v="2015-10-01T00:00:00"/>
        <d v="2015-05-26T00:00:00"/>
        <d v="2015-09-24T00:00:00"/>
        <d v="2015-08-16T00:00:00"/>
        <d v="2015-06-16T00:00:00"/>
        <d v="2014-11-08T00:00:00"/>
        <d v="2014-04-11T00:00:00"/>
        <d v="2015-12-04T00:00:00"/>
        <d v="2014-11-24T00:00:00"/>
        <d v="2014-08-23T00:00:00"/>
        <d v="2014-01-13T00:00:00"/>
        <d v="2014-10-11T00:00:00"/>
        <d v="2015-02-23T00:00:00"/>
        <d v="2014-02-09T00:00:00"/>
        <d v="2014-11-28T00:00:00"/>
        <d v="2014-05-06T00:00:00"/>
        <d v="2015-06-11T00:00:00"/>
        <d v="2014-09-25T00:00:00"/>
        <d v="2014-12-25T00:00:00"/>
        <d v="2014-08-18T00:00:00"/>
        <d v="2015-02-08T00:00:00"/>
        <d v="2015-07-17T00:00:00"/>
        <d v="2014-11-07T00:00:00"/>
        <d v="2014-10-13T00:00:00"/>
        <d v="2014-09-08T00:00:00"/>
        <d v="2015-04-27T00:00:00"/>
        <d v="2014-07-03T00:00:00"/>
        <d v="2015-09-19T00:00:00"/>
        <d v="2014-11-23T00:00:00"/>
        <d v="2015-11-13T00:00:00"/>
        <d v="2014-12-03T00:00:00"/>
        <d v="2015-07-27T00:00:00"/>
        <d v="2015-03-19T00:00:00"/>
        <d v="2015-01-20T00:00:00"/>
        <d v="2014-06-18T00:00:00"/>
        <d v="2015-06-23T00:00:00"/>
        <d v="2014-07-17T00:00:00"/>
        <d v="2014-08-06T00:00:00"/>
        <d v="2015-09-17T00:00:00"/>
        <d v="2014-10-06T00:00:00"/>
        <d v="2014-06-26T00:00:00"/>
        <d v="2015-09-12T00:00:00"/>
        <d v="2015-05-21T00:00:00"/>
        <d v="2014-06-08T00:00:00"/>
        <d v="2014-07-12T00:00:00"/>
        <d v="2015-06-06T00:00:00"/>
        <d v="2015-08-14T00:00:00"/>
        <d v="2015-07-03T00:00:00"/>
        <d v="2015-11-18T00:00:00"/>
        <d v="2015-12-19T00:00:00"/>
        <d v="2014-04-19T00:00:00"/>
        <d v="2015-06-02T00:00:00"/>
        <d v="2015-06-20T00:00:00"/>
        <d v="2015-01-12T00:00:00"/>
        <d v="2015-02-20T00:00:00"/>
        <d v="2014-01-28T00:00:00"/>
        <d v="2015-08-01T00:00:00"/>
        <d v="2015-03-09T00:00:00"/>
        <d v="2015-09-26T00:00:00"/>
        <d v="2014-03-08T00:00:00"/>
        <d v="2014-01-12T00:00:00"/>
        <d v="2014-04-21T00:00:00"/>
        <d v="2015-04-16T00:00:00"/>
        <d v="2014-10-01T00:00:00"/>
        <d v="2014-01-24T00:00:00"/>
        <d v="2015-11-25T00:00:00"/>
        <d v="2014-07-25T00:00:00"/>
        <d v="2014-03-14T00:00:00"/>
        <d v="2014-06-02T00:00:00"/>
        <d v="2015-05-28T00:00:00"/>
        <d v="2014-05-26T00:00:00"/>
        <d v="2014-11-06T00:00:00"/>
        <d v="2014-02-14T00:00:00"/>
        <d v="2014-03-21T00:00:00"/>
        <d v="2015-02-11T00:00:00"/>
        <d v="2014-05-01T00:00:00"/>
      </sharedItems>
      <fieldGroup par="9"/>
    </cacheField>
    <cacheField name="Quarter" numFmtId="0">
      <sharedItems/>
    </cacheField>
    <cacheField name="Category2" numFmtId="0" databaseField="0">
      <fieldGroup base="0">
        <discretePr count="8">
          <x v="0"/>
          <x v="1"/>
          <x v="2"/>
          <x v="3"/>
          <x v="4"/>
          <x v="5"/>
          <x v="6"/>
          <x v="6"/>
        </discretePr>
        <groupItems count="7">
          <s v="Condiments"/>
          <s v="Meat/Poultry"/>
          <s v="Grain/Cereals"/>
          <s v="Wines and Beer"/>
          <s v="Beverages"/>
          <s v="Confections"/>
          <s v="Group1"/>
        </groupItems>
      </fieldGroup>
    </cacheField>
    <cacheField name="Months (Date of Purchase)" numFmtId="0" databaseField="0">
      <fieldGroup base="4">
        <rangePr groupBy="months" startDate="2014-01-02T00:00:00" endDate="2015-12-29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15"/>
        </groupItems>
      </fieldGroup>
    </cacheField>
    <cacheField name="Quarters (Date of Purchase)" numFmtId="0" databaseField="0">
      <fieldGroup base="4">
        <rangePr groupBy="quarters" startDate="2014-01-02T00:00:00" endDate="2015-12-29T00:00:00"/>
        <groupItems count="6">
          <s v="&lt;02-01-2014"/>
          <s v="Qtr1"/>
          <s v="Qtr2"/>
          <s v="Qtr3"/>
          <s v="Qtr4"/>
          <s v="&gt;29-12-2015"/>
        </groupItems>
      </fieldGroup>
    </cacheField>
    <cacheField name="Years (Date of Purchase)" numFmtId="0" databaseField="0">
      <fieldGroup base="4">
        <rangePr groupBy="years" startDate="2014-01-02T00:00:00" endDate="2015-12-29T00:00:00"/>
        <groupItems count="4">
          <s v="&lt;02-01-2014"/>
          <s v="2014"/>
          <s v="2015"/>
          <s v="&gt;29-12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French's"/>
    <n v="900"/>
    <s v="South Africa"/>
    <d v="2015-03-06T00:00:00"/>
  </r>
  <r>
    <x v="1"/>
    <s v="Shelton Poultry Produce"/>
    <n v="753"/>
    <s v="Portugal"/>
    <d v="2014-04-03T00:00:00"/>
  </r>
  <r>
    <x v="1"/>
    <s v="Banquet Chicken"/>
    <n v="755"/>
    <s v="China"/>
    <d v="2015-02-07T00:00:00"/>
  </r>
  <r>
    <x v="0"/>
    <s v="Mang Tomas"/>
    <n v="757"/>
    <s v="France"/>
    <d v="2015-11-16T00:00:00"/>
  </r>
  <r>
    <x v="1"/>
    <s v="Banquet Chicken"/>
    <n v="757"/>
    <s v="Australia"/>
    <d v="2015-10-23T00:00:00"/>
  </r>
  <r>
    <x v="2"/>
    <s v="Heart to Heart"/>
    <n v="772"/>
    <s v="Brazil"/>
    <d v="2014-12-28T00:00:00"/>
  </r>
  <r>
    <x v="0"/>
    <s v="Trappey's Hot Sauce"/>
    <n v="773"/>
    <s v="Portugal"/>
    <d v="2015-04-02T00:00:00"/>
  </r>
  <r>
    <x v="2"/>
    <s v="Sultana Bran"/>
    <n v="781"/>
    <s v="Portugal"/>
    <d v="2014-08-19T00:00:00"/>
  </r>
  <r>
    <x v="1"/>
    <s v="Toledano Wings"/>
    <n v="784"/>
    <s v="Argentina"/>
    <d v="2015-08-2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French's"/>
    <n v="900"/>
    <s v="South Africa"/>
    <d v="2015-03-06T00:00:00"/>
  </r>
  <r>
    <x v="1"/>
    <s v="Shelton Poultry Produce"/>
    <n v="753"/>
    <s v="Portugal"/>
    <d v="2014-04-03T00:00:00"/>
  </r>
  <r>
    <x v="1"/>
    <s v="Banquet Chicken"/>
    <n v="755"/>
    <s v="China"/>
    <d v="2015-02-07T00:00:00"/>
  </r>
  <r>
    <x v="0"/>
    <s v="Mang Tomas"/>
    <n v="757"/>
    <s v="France"/>
    <d v="2015-11-16T00:00:00"/>
  </r>
  <r>
    <x v="1"/>
    <s v="Banquet Chicken"/>
    <n v="757"/>
    <s v="Australia"/>
    <d v="2015-10-23T00:00:00"/>
  </r>
  <r>
    <x v="2"/>
    <s v="Heart to Heart"/>
    <n v="772"/>
    <s v="Brazil"/>
    <d v="2014-12-28T00:00:00"/>
  </r>
  <r>
    <x v="0"/>
    <s v="Trappey's Hot Sauce"/>
    <n v="773"/>
    <s v="Portugal"/>
    <d v="2015-04-02T00:00:00"/>
  </r>
  <r>
    <x v="2"/>
    <s v="Sultana Bran"/>
    <n v="781"/>
    <s v="Portugal"/>
    <d v="2014-08-19T00:00:00"/>
  </r>
  <r>
    <x v="1"/>
    <s v="Toledano Wings"/>
    <n v="784"/>
    <s v="Argentina"/>
    <d v="2015-08-25T00:00:00"/>
  </r>
  <r>
    <x v="3"/>
    <s v="Heiniken"/>
    <n v="785"/>
    <s v="Brazil"/>
    <d v="2014-10-08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">
  <r>
    <x v="0"/>
    <x v="0"/>
    <n v="748"/>
    <s v="South Africa"/>
    <x v="0"/>
    <x v="0"/>
  </r>
  <r>
    <x v="1"/>
    <x v="1"/>
    <n v="753"/>
    <s v="Portugal"/>
    <x v="1"/>
    <x v="1"/>
  </r>
  <r>
    <x v="1"/>
    <x v="2"/>
    <n v="755"/>
    <s v="China"/>
    <x v="2"/>
    <x v="0"/>
  </r>
  <r>
    <x v="0"/>
    <x v="3"/>
    <n v="757"/>
    <s v="France"/>
    <x v="3"/>
    <x v="2"/>
  </r>
  <r>
    <x v="1"/>
    <x v="2"/>
    <n v="757"/>
    <s v="Australia"/>
    <x v="4"/>
    <x v="2"/>
  </r>
  <r>
    <x v="2"/>
    <x v="4"/>
    <n v="772"/>
    <s v="Brazil"/>
    <x v="5"/>
    <x v="2"/>
  </r>
  <r>
    <x v="0"/>
    <x v="5"/>
    <n v="773"/>
    <s v="Portugal"/>
    <x v="6"/>
    <x v="1"/>
  </r>
  <r>
    <x v="2"/>
    <x v="6"/>
    <n v="781"/>
    <s v="Portugal"/>
    <x v="7"/>
    <x v="3"/>
  </r>
  <r>
    <x v="1"/>
    <x v="7"/>
    <n v="784"/>
    <s v="Argentina"/>
    <x v="8"/>
    <x v="3"/>
  </r>
  <r>
    <x v="3"/>
    <x v="8"/>
    <n v="785"/>
    <s v="Brazil"/>
    <x v="9"/>
    <x v="2"/>
  </r>
  <r>
    <x v="4"/>
    <x v="9"/>
    <n v="786"/>
    <s v="Ireland"/>
    <x v="10"/>
    <x v="3"/>
  </r>
  <r>
    <x v="5"/>
    <x v="10"/>
    <n v="789"/>
    <s v="South Africa"/>
    <x v="11"/>
    <x v="1"/>
  </r>
  <r>
    <x v="5"/>
    <x v="11"/>
    <n v="800"/>
    <s v="Ireland"/>
    <x v="12"/>
    <x v="0"/>
  </r>
  <r>
    <x v="6"/>
    <x v="12"/>
    <n v="800"/>
    <s v="China"/>
    <x v="13"/>
    <x v="3"/>
  </r>
  <r>
    <x v="2"/>
    <x v="13"/>
    <n v="802"/>
    <s v="Portugal"/>
    <x v="14"/>
    <x v="0"/>
  </r>
  <r>
    <x v="0"/>
    <x v="14"/>
    <n v="803"/>
    <s v="France"/>
    <x v="15"/>
    <x v="2"/>
  </r>
  <r>
    <x v="6"/>
    <x v="15"/>
    <n v="804"/>
    <s v="South Africa"/>
    <x v="16"/>
    <x v="1"/>
  </r>
  <r>
    <x v="3"/>
    <x v="16"/>
    <n v="807"/>
    <s v="Japan"/>
    <x v="17"/>
    <x v="0"/>
  </r>
  <r>
    <x v="7"/>
    <x v="17"/>
    <n v="808"/>
    <s v="France"/>
    <x v="18"/>
    <x v="0"/>
  </r>
  <r>
    <x v="4"/>
    <x v="18"/>
    <n v="811"/>
    <s v="Argentina"/>
    <x v="19"/>
    <x v="3"/>
  </r>
  <r>
    <x v="2"/>
    <x v="19"/>
    <n v="814"/>
    <s v="Japan"/>
    <x v="20"/>
    <x v="2"/>
  </r>
  <r>
    <x v="4"/>
    <x v="20"/>
    <n v="815"/>
    <s v="France"/>
    <x v="21"/>
    <x v="3"/>
  </r>
  <r>
    <x v="4"/>
    <x v="21"/>
    <n v="816"/>
    <s v="Japan"/>
    <x v="22"/>
    <x v="1"/>
  </r>
  <r>
    <x v="4"/>
    <x v="22"/>
    <n v="820"/>
    <s v="Japan"/>
    <x v="23"/>
    <x v="2"/>
  </r>
  <r>
    <x v="5"/>
    <x v="23"/>
    <n v="825"/>
    <s v="India"/>
    <x v="24"/>
    <x v="1"/>
  </r>
  <r>
    <x v="4"/>
    <x v="24"/>
    <n v="826"/>
    <s v="South Africa"/>
    <x v="25"/>
    <x v="2"/>
  </r>
  <r>
    <x v="5"/>
    <x v="11"/>
    <n v="830"/>
    <s v="Portugal"/>
    <x v="26"/>
    <x v="1"/>
  </r>
  <r>
    <x v="1"/>
    <x v="25"/>
    <n v="830"/>
    <s v="Australia"/>
    <x v="27"/>
    <x v="1"/>
  </r>
  <r>
    <x v="3"/>
    <x v="26"/>
    <n v="837"/>
    <s v="India"/>
    <x v="28"/>
    <x v="2"/>
  </r>
  <r>
    <x v="4"/>
    <x v="27"/>
    <n v="838"/>
    <s v="Japan"/>
    <x v="29"/>
    <x v="2"/>
  </r>
  <r>
    <x v="5"/>
    <x v="23"/>
    <n v="844"/>
    <s v="France"/>
    <x v="30"/>
    <x v="1"/>
  </r>
  <r>
    <x v="4"/>
    <x v="18"/>
    <n v="845"/>
    <s v="Portugal"/>
    <x v="31"/>
    <x v="2"/>
  </r>
  <r>
    <x v="2"/>
    <x v="28"/>
    <n v="846"/>
    <s v="Australia"/>
    <x v="32"/>
    <x v="0"/>
  </r>
  <r>
    <x v="4"/>
    <x v="18"/>
    <n v="849"/>
    <s v="Argentina"/>
    <x v="33"/>
    <x v="1"/>
  </r>
  <r>
    <x v="4"/>
    <x v="29"/>
    <n v="851"/>
    <s v="Brazil"/>
    <x v="34"/>
    <x v="2"/>
  </r>
  <r>
    <x v="0"/>
    <x v="30"/>
    <n v="860"/>
    <s v="Argentina"/>
    <x v="35"/>
    <x v="0"/>
  </r>
  <r>
    <x v="1"/>
    <x v="1"/>
    <n v="862"/>
    <s v="Portugal"/>
    <x v="36"/>
    <x v="2"/>
  </r>
  <r>
    <x v="7"/>
    <x v="31"/>
    <n v="866"/>
    <s v="Portugal"/>
    <x v="37"/>
    <x v="0"/>
  </r>
  <r>
    <x v="2"/>
    <x v="32"/>
    <n v="872"/>
    <s v="Australia"/>
    <x v="38"/>
    <x v="2"/>
  </r>
  <r>
    <x v="0"/>
    <x v="33"/>
    <n v="874"/>
    <s v="Japan"/>
    <x v="39"/>
    <x v="2"/>
  </r>
  <r>
    <x v="5"/>
    <x v="23"/>
    <n v="874"/>
    <s v="Ireland"/>
    <x v="40"/>
    <x v="2"/>
  </r>
  <r>
    <x v="4"/>
    <x v="34"/>
    <n v="895"/>
    <s v="Portugal"/>
    <x v="41"/>
    <x v="0"/>
  </r>
  <r>
    <x v="1"/>
    <x v="35"/>
    <n v="896"/>
    <s v="China"/>
    <x v="42"/>
    <x v="0"/>
  </r>
  <r>
    <x v="7"/>
    <x v="31"/>
    <n v="898"/>
    <s v="India"/>
    <x v="43"/>
    <x v="0"/>
  </r>
  <r>
    <x v="6"/>
    <x v="36"/>
    <n v="907"/>
    <s v="Portugal"/>
    <x v="44"/>
    <x v="1"/>
  </r>
  <r>
    <x v="1"/>
    <x v="37"/>
    <n v="911"/>
    <s v="China"/>
    <x v="45"/>
    <x v="2"/>
  </r>
  <r>
    <x v="6"/>
    <x v="38"/>
    <n v="916"/>
    <s v="Portugal"/>
    <x v="46"/>
    <x v="3"/>
  </r>
  <r>
    <x v="0"/>
    <x v="39"/>
    <n v="917"/>
    <s v="South Africa"/>
    <x v="47"/>
    <x v="0"/>
  </r>
  <r>
    <x v="1"/>
    <x v="2"/>
    <n v="921"/>
    <s v="China"/>
    <x v="48"/>
    <x v="3"/>
  </r>
  <r>
    <x v="3"/>
    <x v="40"/>
    <n v="922"/>
    <s v="China"/>
    <x v="49"/>
    <x v="0"/>
  </r>
  <r>
    <x v="6"/>
    <x v="41"/>
    <n v="925"/>
    <s v="South Africa"/>
    <x v="50"/>
    <x v="3"/>
  </r>
  <r>
    <x v="2"/>
    <x v="42"/>
    <n v="926"/>
    <s v="India"/>
    <x v="51"/>
    <x v="2"/>
  </r>
  <r>
    <x v="7"/>
    <x v="43"/>
    <n v="932"/>
    <s v="India"/>
    <x v="52"/>
    <x v="2"/>
  </r>
  <r>
    <x v="6"/>
    <x v="15"/>
    <n v="935"/>
    <s v="Ireland"/>
    <x v="53"/>
    <x v="0"/>
  </r>
  <r>
    <x v="3"/>
    <x v="44"/>
    <n v="940"/>
    <s v="Brazil"/>
    <x v="54"/>
    <x v="0"/>
  </r>
  <r>
    <x v="2"/>
    <x v="45"/>
    <n v="942"/>
    <s v="Brazil"/>
    <x v="55"/>
    <x v="1"/>
  </r>
  <r>
    <x v="6"/>
    <x v="15"/>
    <n v="945"/>
    <s v="Ireland"/>
    <x v="56"/>
    <x v="3"/>
  </r>
  <r>
    <x v="1"/>
    <x v="46"/>
    <n v="953"/>
    <s v="Argentina"/>
    <x v="57"/>
    <x v="2"/>
  </r>
  <r>
    <x v="3"/>
    <x v="44"/>
    <n v="964"/>
    <s v="Argentina"/>
    <x v="58"/>
    <x v="2"/>
  </r>
  <r>
    <x v="0"/>
    <x v="33"/>
    <n v="966"/>
    <s v="Australia"/>
    <x v="59"/>
    <x v="1"/>
  </r>
  <r>
    <x v="1"/>
    <x v="35"/>
    <n v="969"/>
    <s v="Portugal"/>
    <x v="60"/>
    <x v="0"/>
  </r>
  <r>
    <x v="3"/>
    <x v="40"/>
    <n v="970"/>
    <s v="Japan"/>
    <x v="61"/>
    <x v="3"/>
  </r>
  <r>
    <x v="1"/>
    <x v="47"/>
    <n v="972"/>
    <s v="India"/>
    <x v="62"/>
    <x v="2"/>
  </r>
  <r>
    <x v="3"/>
    <x v="48"/>
    <n v="973"/>
    <s v="India"/>
    <x v="63"/>
    <x v="2"/>
  </r>
  <r>
    <x v="0"/>
    <x v="14"/>
    <n v="982"/>
    <s v="Australia"/>
    <x v="64"/>
    <x v="1"/>
  </r>
  <r>
    <x v="2"/>
    <x v="49"/>
    <n v="991"/>
    <s v="Portugal"/>
    <x v="65"/>
    <x v="1"/>
  </r>
  <r>
    <x v="4"/>
    <x v="50"/>
    <n v="991"/>
    <s v="Brazil"/>
    <x v="66"/>
    <x v="3"/>
  </r>
  <r>
    <x v="2"/>
    <x v="51"/>
    <n v="998"/>
    <s v="Portugal"/>
    <x v="67"/>
    <x v="0"/>
  </r>
  <r>
    <x v="2"/>
    <x v="32"/>
    <n v="1004"/>
    <s v="India"/>
    <x v="68"/>
    <x v="3"/>
  </r>
  <r>
    <x v="2"/>
    <x v="32"/>
    <n v="1008"/>
    <s v="Japan"/>
    <x v="69"/>
    <x v="0"/>
  </r>
  <r>
    <x v="5"/>
    <x v="10"/>
    <n v="1010"/>
    <s v="Ireland"/>
    <x v="70"/>
    <x v="2"/>
  </r>
  <r>
    <x v="3"/>
    <x v="26"/>
    <n v="1013"/>
    <s v="China"/>
    <x v="71"/>
    <x v="1"/>
  </r>
  <r>
    <x v="4"/>
    <x v="18"/>
    <n v="1015"/>
    <s v="Ireland"/>
    <x v="72"/>
    <x v="0"/>
  </r>
  <r>
    <x v="6"/>
    <x v="38"/>
    <n v="1015"/>
    <s v="India"/>
    <x v="73"/>
    <x v="1"/>
  </r>
  <r>
    <x v="2"/>
    <x v="19"/>
    <n v="1017"/>
    <s v="South Africa"/>
    <x v="74"/>
    <x v="3"/>
  </r>
  <r>
    <x v="3"/>
    <x v="40"/>
    <n v="1018"/>
    <s v="France"/>
    <x v="75"/>
    <x v="1"/>
  </r>
  <r>
    <x v="1"/>
    <x v="46"/>
    <n v="1018"/>
    <s v="Portugal"/>
    <x v="76"/>
    <x v="3"/>
  </r>
  <r>
    <x v="4"/>
    <x v="24"/>
    <n v="1019"/>
    <s v="Australia"/>
    <x v="77"/>
    <x v="2"/>
  </r>
  <r>
    <x v="7"/>
    <x v="31"/>
    <n v="1022"/>
    <s v="Portugal"/>
    <x v="78"/>
    <x v="0"/>
  </r>
  <r>
    <x v="6"/>
    <x v="41"/>
    <n v="1022"/>
    <s v="Brazil"/>
    <x v="79"/>
    <x v="1"/>
  </r>
  <r>
    <x v="4"/>
    <x v="20"/>
    <n v="1033"/>
    <s v="Australia"/>
    <x v="80"/>
    <x v="0"/>
  </r>
  <r>
    <x v="2"/>
    <x v="51"/>
    <n v="1034"/>
    <s v="South Africa"/>
    <x v="81"/>
    <x v="3"/>
  </r>
  <r>
    <x v="4"/>
    <x v="52"/>
    <n v="1037"/>
    <s v="Japan"/>
    <x v="82"/>
    <x v="1"/>
  </r>
  <r>
    <x v="0"/>
    <x v="39"/>
    <n v="1037"/>
    <s v="China"/>
    <x v="83"/>
    <x v="3"/>
  </r>
  <r>
    <x v="5"/>
    <x v="53"/>
    <n v="1041"/>
    <s v="South Africa"/>
    <x v="84"/>
    <x v="2"/>
  </r>
  <r>
    <x v="4"/>
    <x v="54"/>
    <n v="1044"/>
    <s v="South Africa"/>
    <x v="85"/>
    <x v="2"/>
  </r>
  <r>
    <x v="5"/>
    <x v="55"/>
    <n v="1047"/>
    <s v="Argentina"/>
    <x v="86"/>
    <x v="2"/>
  </r>
  <r>
    <x v="2"/>
    <x v="51"/>
    <n v="1050"/>
    <s v="Australia"/>
    <x v="87"/>
    <x v="0"/>
  </r>
  <r>
    <x v="7"/>
    <x v="56"/>
    <n v="1054"/>
    <s v="India"/>
    <x v="37"/>
    <x v="0"/>
  </r>
  <r>
    <x v="1"/>
    <x v="57"/>
    <n v="1054"/>
    <s v="Argentina"/>
    <x v="88"/>
    <x v="2"/>
  </r>
  <r>
    <x v="2"/>
    <x v="6"/>
    <n v="1057"/>
    <s v="Japan"/>
    <x v="89"/>
    <x v="3"/>
  </r>
  <r>
    <x v="3"/>
    <x v="58"/>
    <n v="1059"/>
    <s v="Brazil"/>
    <x v="11"/>
    <x v="1"/>
  </r>
  <r>
    <x v="7"/>
    <x v="31"/>
    <n v="1064"/>
    <s v="Brazil"/>
    <x v="90"/>
    <x v="1"/>
  </r>
  <r>
    <x v="0"/>
    <x v="3"/>
    <n v="1065"/>
    <s v="Japan"/>
    <x v="91"/>
    <x v="3"/>
  </r>
  <r>
    <x v="2"/>
    <x v="32"/>
    <n v="1078"/>
    <s v="Brazil"/>
    <x v="92"/>
    <x v="2"/>
  </r>
  <r>
    <x v="2"/>
    <x v="6"/>
    <n v="1078"/>
    <s v="Portugal"/>
    <x v="93"/>
    <x v="2"/>
  </r>
  <r>
    <x v="4"/>
    <x v="20"/>
    <n v="1079"/>
    <s v="Australia"/>
    <x v="41"/>
    <x v="0"/>
  </r>
  <r>
    <x v="6"/>
    <x v="38"/>
    <n v="1079"/>
    <s v="Brazil"/>
    <x v="94"/>
    <x v="0"/>
  </r>
  <r>
    <x v="4"/>
    <x v="18"/>
    <n v="1081"/>
    <s v="China"/>
    <x v="14"/>
    <x v="0"/>
  </r>
  <r>
    <x v="0"/>
    <x v="14"/>
    <n v="1081"/>
    <s v="India"/>
    <x v="95"/>
    <x v="3"/>
  </r>
  <r>
    <x v="7"/>
    <x v="31"/>
    <n v="1083"/>
    <s v="China"/>
    <x v="96"/>
    <x v="0"/>
  </r>
  <r>
    <x v="4"/>
    <x v="34"/>
    <n v="1093"/>
    <s v="France"/>
    <x v="97"/>
    <x v="1"/>
  </r>
  <r>
    <x v="2"/>
    <x v="59"/>
    <n v="1095"/>
    <s v="China"/>
    <x v="98"/>
    <x v="1"/>
  </r>
  <r>
    <x v="5"/>
    <x v="60"/>
    <n v="1104"/>
    <s v="Portugal"/>
    <x v="99"/>
    <x v="2"/>
  </r>
  <r>
    <x v="5"/>
    <x v="61"/>
    <n v="1111"/>
    <s v="France"/>
    <x v="16"/>
    <x v="1"/>
  </r>
  <r>
    <x v="2"/>
    <x v="19"/>
    <n v="1114"/>
    <s v="China"/>
    <x v="69"/>
    <x v="0"/>
  </r>
  <r>
    <x v="6"/>
    <x v="41"/>
    <n v="1115"/>
    <s v="Australia"/>
    <x v="100"/>
    <x v="1"/>
  </r>
  <r>
    <x v="2"/>
    <x v="62"/>
    <n v="1115"/>
    <s v="Portugal"/>
    <x v="101"/>
    <x v="2"/>
  </r>
  <r>
    <x v="2"/>
    <x v="13"/>
    <n v="1118"/>
    <s v="France"/>
    <x v="102"/>
    <x v="3"/>
  </r>
  <r>
    <x v="0"/>
    <x v="33"/>
    <n v="1122"/>
    <s v="Portugal"/>
    <x v="103"/>
    <x v="0"/>
  </r>
  <r>
    <x v="2"/>
    <x v="28"/>
    <n v="1124"/>
    <s v="Japan"/>
    <x v="104"/>
    <x v="0"/>
  </r>
  <r>
    <x v="1"/>
    <x v="46"/>
    <n v="1128"/>
    <s v="Japan"/>
    <x v="105"/>
    <x v="1"/>
  </r>
  <r>
    <x v="2"/>
    <x v="13"/>
    <n v="1130"/>
    <s v="South Africa"/>
    <x v="72"/>
    <x v="0"/>
  </r>
  <r>
    <x v="0"/>
    <x v="30"/>
    <n v="1131"/>
    <s v="Portugal"/>
    <x v="106"/>
    <x v="3"/>
  </r>
  <r>
    <x v="2"/>
    <x v="13"/>
    <n v="1132"/>
    <s v="Portugal"/>
    <x v="107"/>
    <x v="2"/>
  </r>
  <r>
    <x v="3"/>
    <x v="8"/>
    <n v="1139"/>
    <s v="Brazil"/>
    <x v="108"/>
    <x v="0"/>
  </r>
  <r>
    <x v="2"/>
    <x v="49"/>
    <n v="1141"/>
    <s v="Argentina"/>
    <x v="109"/>
    <x v="3"/>
  </r>
  <r>
    <x v="4"/>
    <x v="29"/>
    <n v="1149"/>
    <s v="China"/>
    <x v="110"/>
    <x v="2"/>
  </r>
  <r>
    <x v="4"/>
    <x v="20"/>
    <n v="1163"/>
    <s v="Ireland"/>
    <x v="111"/>
    <x v="2"/>
  </r>
  <r>
    <x v="5"/>
    <x v="63"/>
    <n v="1164"/>
    <s v="Argentina"/>
    <x v="112"/>
    <x v="0"/>
  </r>
  <r>
    <x v="5"/>
    <x v="60"/>
    <n v="1168"/>
    <s v="Portugal"/>
    <x v="113"/>
    <x v="0"/>
  </r>
  <r>
    <x v="2"/>
    <x v="51"/>
    <n v="1168"/>
    <s v="India"/>
    <x v="114"/>
    <x v="1"/>
  </r>
  <r>
    <x v="4"/>
    <x v="22"/>
    <n v="1172"/>
    <s v="Ireland"/>
    <x v="115"/>
    <x v="1"/>
  </r>
  <r>
    <x v="1"/>
    <x v="57"/>
    <n v="1174"/>
    <s v="South Africa"/>
    <x v="116"/>
    <x v="3"/>
  </r>
  <r>
    <x v="7"/>
    <x v="31"/>
    <n v="1194"/>
    <s v="Australia"/>
    <x v="117"/>
    <x v="0"/>
  </r>
  <r>
    <x v="2"/>
    <x v="49"/>
    <n v="1207"/>
    <s v="Brazil"/>
    <x v="10"/>
    <x v="3"/>
  </r>
  <r>
    <x v="0"/>
    <x v="0"/>
    <n v="1212"/>
    <s v="Argentina"/>
    <x v="118"/>
    <x v="2"/>
  </r>
  <r>
    <x v="3"/>
    <x v="16"/>
    <n v="1213"/>
    <s v="Argentina"/>
    <x v="119"/>
    <x v="3"/>
  </r>
  <r>
    <x v="4"/>
    <x v="29"/>
    <n v="1224"/>
    <s v="Australia"/>
    <x v="120"/>
    <x v="1"/>
  </r>
  <r>
    <x v="2"/>
    <x v="64"/>
    <n v="1224"/>
    <s v="Ireland"/>
    <x v="121"/>
    <x v="1"/>
  </r>
  <r>
    <x v="6"/>
    <x v="12"/>
    <n v="1225"/>
    <s v="Brazil"/>
    <x v="122"/>
    <x v="0"/>
  </r>
  <r>
    <x v="1"/>
    <x v="46"/>
    <n v="1227"/>
    <s v="India"/>
    <x v="123"/>
    <x v="0"/>
  </r>
  <r>
    <x v="1"/>
    <x v="37"/>
    <n v="1237"/>
    <s v="Ireland"/>
    <x v="124"/>
    <x v="1"/>
  </r>
  <r>
    <x v="5"/>
    <x v="65"/>
    <n v="1243"/>
    <s v="China"/>
    <x v="125"/>
    <x v="1"/>
  </r>
  <r>
    <x v="1"/>
    <x v="25"/>
    <n v="1244"/>
    <s v="Japan"/>
    <x v="126"/>
    <x v="1"/>
  </r>
  <r>
    <x v="5"/>
    <x v="61"/>
    <n v="1250"/>
    <s v="South Africa"/>
    <x v="17"/>
    <x v="0"/>
  </r>
  <r>
    <x v="1"/>
    <x v="37"/>
    <n v="1252"/>
    <s v="India"/>
    <x v="127"/>
    <x v="3"/>
  </r>
  <r>
    <x v="0"/>
    <x v="66"/>
    <n v="1253"/>
    <s v="India"/>
    <x v="128"/>
    <x v="0"/>
  </r>
  <r>
    <x v="1"/>
    <x v="57"/>
    <n v="1256"/>
    <s v="Portugal"/>
    <x v="129"/>
    <x v="1"/>
  </r>
  <r>
    <x v="7"/>
    <x v="17"/>
    <n v="1268"/>
    <s v="Argentina"/>
    <x v="130"/>
    <x v="1"/>
  </r>
  <r>
    <x v="5"/>
    <x v="23"/>
    <n v="1273"/>
    <s v="India"/>
    <x v="131"/>
    <x v="1"/>
  </r>
  <r>
    <x v="3"/>
    <x v="58"/>
    <n v="1275"/>
    <s v="South Africa"/>
    <x v="132"/>
    <x v="2"/>
  </r>
  <r>
    <x v="5"/>
    <x v="65"/>
    <n v="1279"/>
    <s v="Japan"/>
    <x v="133"/>
    <x v="1"/>
  </r>
  <r>
    <x v="1"/>
    <x v="1"/>
    <n v="1279"/>
    <s v="Ireland"/>
    <x v="134"/>
    <x v="3"/>
  </r>
  <r>
    <x v="4"/>
    <x v="27"/>
    <n v="1282"/>
    <s v="China"/>
    <x v="135"/>
    <x v="3"/>
  </r>
  <r>
    <x v="1"/>
    <x v="7"/>
    <n v="1285"/>
    <s v="Japan"/>
    <x v="136"/>
    <x v="0"/>
  </r>
  <r>
    <x v="4"/>
    <x v="21"/>
    <n v="1286"/>
    <s v="Brazil"/>
    <x v="137"/>
    <x v="0"/>
  </r>
  <r>
    <x v="2"/>
    <x v="42"/>
    <n v="1290"/>
    <s v="Japan"/>
    <x v="42"/>
    <x v="0"/>
  </r>
  <r>
    <x v="3"/>
    <x v="26"/>
    <n v="1290"/>
    <s v="Japan"/>
    <x v="138"/>
    <x v="3"/>
  </r>
  <r>
    <x v="0"/>
    <x v="14"/>
    <n v="1293"/>
    <s v="Portugal"/>
    <x v="139"/>
    <x v="1"/>
  </r>
  <r>
    <x v="5"/>
    <x v="53"/>
    <n v="1293"/>
    <s v="Portugal"/>
    <x v="140"/>
    <x v="1"/>
  </r>
  <r>
    <x v="4"/>
    <x v="22"/>
    <n v="1308"/>
    <s v="Brazil"/>
    <x v="141"/>
    <x v="0"/>
  </r>
  <r>
    <x v="4"/>
    <x v="9"/>
    <n v="1310"/>
    <s v="France"/>
    <x v="142"/>
    <x v="2"/>
  </r>
  <r>
    <x v="4"/>
    <x v="52"/>
    <n v="1322"/>
    <s v="Argentina"/>
    <x v="143"/>
    <x v="0"/>
  </r>
  <r>
    <x v="4"/>
    <x v="52"/>
    <n v="1322"/>
    <s v="Portugal"/>
    <x v="144"/>
    <x v="3"/>
  </r>
  <r>
    <x v="4"/>
    <x v="24"/>
    <n v="1322"/>
    <s v="India"/>
    <x v="57"/>
    <x v="2"/>
  </r>
  <r>
    <x v="3"/>
    <x v="48"/>
    <n v="1328"/>
    <s v="Ireland"/>
    <x v="69"/>
    <x v="0"/>
  </r>
  <r>
    <x v="5"/>
    <x v="67"/>
    <n v="1332"/>
    <s v="China"/>
    <x v="145"/>
    <x v="1"/>
  </r>
  <r>
    <x v="1"/>
    <x v="68"/>
    <n v="1334"/>
    <s v="Brazil"/>
    <x v="146"/>
    <x v="3"/>
  </r>
  <r>
    <x v="4"/>
    <x v="20"/>
    <n v="1335"/>
    <s v="Australia"/>
    <x v="66"/>
    <x v="3"/>
  </r>
  <r>
    <x v="4"/>
    <x v="50"/>
    <n v="1339"/>
    <s v="Japan"/>
    <x v="147"/>
    <x v="3"/>
  </r>
  <r>
    <x v="7"/>
    <x v="17"/>
    <n v="1341"/>
    <s v="France"/>
    <x v="20"/>
    <x v="2"/>
  </r>
  <r>
    <x v="2"/>
    <x v="64"/>
    <n v="1342"/>
    <s v="Ireland"/>
    <x v="148"/>
    <x v="1"/>
  </r>
  <r>
    <x v="6"/>
    <x v="41"/>
    <n v="1342"/>
    <s v="Portugal"/>
    <x v="149"/>
    <x v="1"/>
  </r>
  <r>
    <x v="0"/>
    <x v="33"/>
    <n v="1344"/>
    <s v="Portugal"/>
    <x v="150"/>
    <x v="1"/>
  </r>
  <r>
    <x v="3"/>
    <x v="58"/>
    <n v="1349"/>
    <s v="France"/>
    <x v="151"/>
    <x v="0"/>
  </r>
  <r>
    <x v="7"/>
    <x v="56"/>
    <n v="1349"/>
    <s v="Argentina"/>
    <x v="130"/>
    <x v="1"/>
  </r>
  <r>
    <x v="2"/>
    <x v="51"/>
    <n v="1353"/>
    <s v="Australia"/>
    <x v="152"/>
    <x v="2"/>
  </r>
  <r>
    <x v="2"/>
    <x v="19"/>
    <n v="1363"/>
    <s v="Australia"/>
    <x v="78"/>
    <x v="0"/>
  </r>
  <r>
    <x v="5"/>
    <x v="10"/>
    <n v="1363"/>
    <s v="Argentina"/>
    <x v="153"/>
    <x v="1"/>
  </r>
  <r>
    <x v="2"/>
    <x v="42"/>
    <n v="1368"/>
    <s v="France"/>
    <x v="154"/>
    <x v="1"/>
  </r>
  <r>
    <x v="5"/>
    <x v="69"/>
    <n v="1379"/>
    <s v="Ireland"/>
    <x v="118"/>
    <x v="2"/>
  </r>
  <r>
    <x v="5"/>
    <x v="10"/>
    <n v="1386"/>
    <s v="France"/>
    <x v="102"/>
    <x v="3"/>
  </r>
  <r>
    <x v="2"/>
    <x v="59"/>
    <n v="1388"/>
    <s v="Brazil"/>
    <x v="155"/>
    <x v="0"/>
  </r>
  <r>
    <x v="0"/>
    <x v="33"/>
    <n v="1389"/>
    <s v="Japan"/>
    <x v="156"/>
    <x v="1"/>
  </r>
  <r>
    <x v="0"/>
    <x v="66"/>
    <n v="1391"/>
    <s v="Ireland"/>
    <x v="157"/>
    <x v="1"/>
  </r>
  <r>
    <x v="4"/>
    <x v="20"/>
    <n v="1394"/>
    <s v="Argentina"/>
    <x v="158"/>
    <x v="1"/>
  </r>
  <r>
    <x v="6"/>
    <x v="12"/>
    <n v="1395"/>
    <s v="Japan"/>
    <x v="116"/>
    <x v="3"/>
  </r>
  <r>
    <x v="0"/>
    <x v="30"/>
    <n v="1399"/>
    <s v="China"/>
    <x v="159"/>
    <x v="3"/>
  </r>
  <r>
    <x v="4"/>
    <x v="27"/>
    <n v="1403"/>
    <s v="China"/>
    <x v="160"/>
    <x v="0"/>
  </r>
  <r>
    <x v="2"/>
    <x v="32"/>
    <n v="1404"/>
    <s v="Brazil"/>
    <x v="161"/>
    <x v="1"/>
  </r>
  <r>
    <x v="1"/>
    <x v="47"/>
    <n v="1405"/>
    <s v="China"/>
    <x v="162"/>
    <x v="2"/>
  </r>
  <r>
    <x v="0"/>
    <x v="14"/>
    <n v="1415"/>
    <s v="Australia"/>
    <x v="79"/>
    <x v="1"/>
  </r>
  <r>
    <x v="7"/>
    <x v="70"/>
    <n v="1416"/>
    <s v="Portugal"/>
    <x v="84"/>
    <x v="2"/>
  </r>
  <r>
    <x v="1"/>
    <x v="2"/>
    <n v="1429"/>
    <s v="Australia"/>
    <x v="163"/>
    <x v="3"/>
  </r>
  <r>
    <x v="3"/>
    <x v="44"/>
    <n v="1431"/>
    <s v="Australia"/>
    <x v="164"/>
    <x v="3"/>
  </r>
  <r>
    <x v="3"/>
    <x v="58"/>
    <n v="1432"/>
    <s v="Brazil"/>
    <x v="165"/>
    <x v="0"/>
  </r>
  <r>
    <x v="7"/>
    <x v="17"/>
    <n v="1435"/>
    <s v="Japan"/>
    <x v="166"/>
    <x v="3"/>
  </r>
  <r>
    <x v="5"/>
    <x v="11"/>
    <n v="1440"/>
    <s v="Argentina"/>
    <x v="167"/>
    <x v="0"/>
  </r>
  <r>
    <x v="2"/>
    <x v="13"/>
    <n v="1446"/>
    <s v="South Africa"/>
    <x v="168"/>
    <x v="3"/>
  </r>
  <r>
    <x v="4"/>
    <x v="21"/>
    <n v="1453"/>
    <s v="Japan"/>
    <x v="169"/>
    <x v="3"/>
  </r>
  <r>
    <x v="4"/>
    <x v="21"/>
    <n v="1459"/>
    <s v="China"/>
    <x v="170"/>
    <x v="3"/>
  </r>
  <r>
    <x v="0"/>
    <x v="33"/>
    <n v="1462"/>
    <s v="France"/>
    <x v="171"/>
    <x v="0"/>
  </r>
  <r>
    <x v="3"/>
    <x v="71"/>
    <n v="1465"/>
    <s v="South Africa"/>
    <x v="172"/>
    <x v="0"/>
  </r>
  <r>
    <x v="5"/>
    <x v="55"/>
    <n v="1465"/>
    <s v="Australia"/>
    <x v="173"/>
    <x v="1"/>
  </r>
  <r>
    <x v="5"/>
    <x v="67"/>
    <n v="1465"/>
    <s v="Argentina"/>
    <x v="174"/>
    <x v="2"/>
  </r>
  <r>
    <x v="3"/>
    <x v="58"/>
    <n v="1467"/>
    <s v="Ireland"/>
    <x v="175"/>
    <x v="3"/>
  </r>
  <r>
    <x v="5"/>
    <x v="61"/>
    <n v="1475"/>
    <s v="China"/>
    <x v="176"/>
    <x v="1"/>
  </r>
  <r>
    <x v="5"/>
    <x v="67"/>
    <n v="1476"/>
    <s v="Portugal"/>
    <x v="177"/>
    <x v="1"/>
  </r>
  <r>
    <x v="3"/>
    <x v="48"/>
    <n v="1479"/>
    <s v="France"/>
    <x v="178"/>
    <x v="1"/>
  </r>
  <r>
    <x v="7"/>
    <x v="72"/>
    <n v="1480"/>
    <s v="Portugal"/>
    <x v="179"/>
    <x v="2"/>
  </r>
  <r>
    <x v="3"/>
    <x v="71"/>
    <n v="1481"/>
    <s v="Brazil"/>
    <x v="180"/>
    <x v="1"/>
  </r>
  <r>
    <x v="2"/>
    <x v="73"/>
    <n v="1481"/>
    <s v="Ireland"/>
    <x v="181"/>
    <x v="2"/>
  </r>
  <r>
    <x v="0"/>
    <x v="39"/>
    <n v="1482"/>
    <s v="Brazil"/>
    <x v="182"/>
    <x v="1"/>
  </r>
  <r>
    <x v="0"/>
    <x v="3"/>
    <n v="1485"/>
    <s v="Brazil"/>
    <x v="183"/>
    <x v="2"/>
  </r>
  <r>
    <x v="0"/>
    <x v="3"/>
    <n v="1486"/>
    <s v="Argentina"/>
    <x v="184"/>
    <x v="2"/>
  </r>
  <r>
    <x v="2"/>
    <x v="62"/>
    <n v="1509"/>
    <s v="Brazil"/>
    <x v="185"/>
    <x v="1"/>
  </r>
  <r>
    <x v="2"/>
    <x v="32"/>
    <n v="1509"/>
    <s v="Ireland"/>
    <x v="164"/>
    <x v="3"/>
  </r>
  <r>
    <x v="4"/>
    <x v="21"/>
    <n v="1512"/>
    <s v="Argentina"/>
    <x v="74"/>
    <x v="3"/>
  </r>
  <r>
    <x v="7"/>
    <x v="72"/>
    <n v="1517"/>
    <s v="Australia"/>
    <x v="104"/>
    <x v="0"/>
  </r>
  <r>
    <x v="1"/>
    <x v="35"/>
    <n v="1521"/>
    <s v="Argentina"/>
    <x v="129"/>
    <x v="1"/>
  </r>
  <r>
    <x v="2"/>
    <x v="62"/>
    <n v="1523"/>
    <s v="Argentina"/>
    <x v="186"/>
    <x v="3"/>
  </r>
  <r>
    <x v="6"/>
    <x v="15"/>
    <n v="1524"/>
    <s v="South Africa"/>
    <x v="187"/>
    <x v="3"/>
  </r>
  <r>
    <x v="2"/>
    <x v="13"/>
    <n v="1525"/>
    <s v="Australia"/>
    <x v="188"/>
    <x v="3"/>
  </r>
  <r>
    <x v="6"/>
    <x v="15"/>
    <n v="1528"/>
    <s v="France"/>
    <x v="189"/>
    <x v="1"/>
  </r>
  <r>
    <x v="0"/>
    <x v="0"/>
    <n v="1530"/>
    <s v="Japan"/>
    <x v="190"/>
    <x v="3"/>
  </r>
  <r>
    <x v="2"/>
    <x v="73"/>
    <n v="1531"/>
    <s v="Japan"/>
    <x v="191"/>
    <x v="0"/>
  </r>
  <r>
    <x v="3"/>
    <x v="26"/>
    <n v="1535"/>
    <s v="Portugal"/>
    <x v="192"/>
    <x v="0"/>
  </r>
  <r>
    <x v="4"/>
    <x v="74"/>
    <n v="1540"/>
    <s v="China"/>
    <x v="193"/>
    <x v="1"/>
  </r>
  <r>
    <x v="2"/>
    <x v="45"/>
    <n v="1541"/>
    <s v="Portugal"/>
    <x v="115"/>
    <x v="1"/>
  </r>
  <r>
    <x v="5"/>
    <x v="11"/>
    <n v="1542"/>
    <s v="Argentina"/>
    <x v="194"/>
    <x v="2"/>
  </r>
  <r>
    <x v="0"/>
    <x v="33"/>
    <n v="1557"/>
    <s v="India"/>
    <x v="195"/>
    <x v="1"/>
  </r>
  <r>
    <x v="1"/>
    <x v="1"/>
    <n v="1562"/>
    <s v="Brazil"/>
    <x v="75"/>
    <x v="1"/>
  </r>
  <r>
    <x v="2"/>
    <x v="62"/>
    <n v="1566"/>
    <s v="China"/>
    <x v="196"/>
    <x v="2"/>
  </r>
  <r>
    <x v="3"/>
    <x v="58"/>
    <n v="1570"/>
    <s v="France"/>
    <x v="197"/>
    <x v="3"/>
  </r>
  <r>
    <x v="2"/>
    <x v="28"/>
    <n v="1570"/>
    <s v="India"/>
    <x v="198"/>
    <x v="2"/>
  </r>
  <r>
    <x v="4"/>
    <x v="74"/>
    <n v="1572"/>
    <s v="Argentina"/>
    <x v="92"/>
    <x v="2"/>
  </r>
  <r>
    <x v="0"/>
    <x v="39"/>
    <n v="1573"/>
    <s v="South Africa"/>
    <x v="199"/>
    <x v="1"/>
  </r>
  <r>
    <x v="3"/>
    <x v="75"/>
    <n v="1579"/>
    <s v="Brazil"/>
    <x v="72"/>
    <x v="0"/>
  </r>
  <r>
    <x v="5"/>
    <x v="11"/>
    <n v="1590"/>
    <s v="France"/>
    <x v="200"/>
    <x v="2"/>
  </r>
  <r>
    <x v="5"/>
    <x v="61"/>
    <n v="1592"/>
    <s v="Argentina"/>
    <x v="201"/>
    <x v="1"/>
  </r>
  <r>
    <x v="4"/>
    <x v="24"/>
    <n v="1596"/>
    <s v="Japan"/>
    <x v="202"/>
    <x v="3"/>
  </r>
  <r>
    <x v="4"/>
    <x v="24"/>
    <n v="1597"/>
    <s v="France"/>
    <x v="111"/>
    <x v="2"/>
  </r>
  <r>
    <x v="7"/>
    <x v="43"/>
    <n v="1598"/>
    <s v="Portugal"/>
    <x v="203"/>
    <x v="3"/>
  </r>
  <r>
    <x v="2"/>
    <x v="42"/>
    <n v="1599"/>
    <s v="China"/>
    <x v="204"/>
    <x v="3"/>
  </r>
  <r>
    <x v="3"/>
    <x v="8"/>
    <n v="1607"/>
    <s v="Ireland"/>
    <x v="205"/>
    <x v="2"/>
  </r>
  <r>
    <x v="7"/>
    <x v="72"/>
    <n v="1617"/>
    <s v="Portugal"/>
    <x v="206"/>
    <x v="0"/>
  </r>
  <r>
    <x v="3"/>
    <x v="48"/>
    <n v="1617"/>
    <s v="India"/>
    <x v="207"/>
    <x v="2"/>
  </r>
  <r>
    <x v="5"/>
    <x v="67"/>
    <n v="1619"/>
    <s v="Ireland"/>
    <x v="208"/>
    <x v="1"/>
  </r>
  <r>
    <x v="3"/>
    <x v="48"/>
    <n v="1621"/>
    <s v="Argentina"/>
    <x v="209"/>
    <x v="0"/>
  </r>
  <r>
    <x v="0"/>
    <x v="76"/>
    <n v="1631"/>
    <s v="Brazil"/>
    <x v="210"/>
    <x v="3"/>
  </r>
  <r>
    <x v="4"/>
    <x v="52"/>
    <n v="1640"/>
    <s v="Ireland"/>
    <x v="113"/>
    <x v="0"/>
  </r>
  <r>
    <x v="0"/>
    <x v="0"/>
    <n v="1646"/>
    <s v="India"/>
    <x v="186"/>
    <x v="3"/>
  </r>
  <r>
    <x v="4"/>
    <x v="27"/>
    <n v="1647"/>
    <s v="Japan"/>
    <x v="162"/>
    <x v="2"/>
  </r>
  <r>
    <x v="2"/>
    <x v="64"/>
    <n v="1649"/>
    <s v="Argentina"/>
    <x v="29"/>
    <x v="2"/>
  </r>
  <r>
    <x v="6"/>
    <x v="36"/>
    <n v="1651"/>
    <s v="Japan"/>
    <x v="211"/>
    <x v="0"/>
  </r>
  <r>
    <x v="1"/>
    <x v="57"/>
    <n v="1654"/>
    <s v="France"/>
    <x v="130"/>
    <x v="1"/>
  </r>
  <r>
    <x v="4"/>
    <x v="21"/>
    <n v="1656"/>
    <s v="Argentina"/>
    <x v="212"/>
    <x v="3"/>
  </r>
  <r>
    <x v="2"/>
    <x v="6"/>
    <n v="1657"/>
    <s v="China"/>
    <x v="213"/>
    <x v="3"/>
  </r>
  <r>
    <x v="5"/>
    <x v="60"/>
    <n v="1661"/>
    <s v="Japan"/>
    <x v="130"/>
    <x v="1"/>
  </r>
  <r>
    <x v="4"/>
    <x v="27"/>
    <n v="1670"/>
    <s v="Brazil"/>
    <x v="214"/>
    <x v="1"/>
  </r>
  <r>
    <x v="4"/>
    <x v="18"/>
    <n v="1674"/>
    <s v="China"/>
    <x v="215"/>
    <x v="0"/>
  </r>
  <r>
    <x v="2"/>
    <x v="42"/>
    <n v="1677"/>
    <s v="China"/>
    <x v="216"/>
    <x v="0"/>
  </r>
  <r>
    <x v="4"/>
    <x v="52"/>
    <n v="1682"/>
    <s v="South Africa"/>
    <x v="217"/>
    <x v="2"/>
  </r>
  <r>
    <x v="2"/>
    <x v="13"/>
    <n v="1684"/>
    <s v="France"/>
    <x v="207"/>
    <x v="2"/>
  </r>
  <r>
    <x v="5"/>
    <x v="23"/>
    <n v="1690"/>
    <s v="Brazil"/>
    <x v="144"/>
    <x v="3"/>
  </r>
  <r>
    <x v="2"/>
    <x v="19"/>
    <n v="1696"/>
    <s v="China"/>
    <x v="218"/>
    <x v="3"/>
  </r>
  <r>
    <x v="3"/>
    <x v="16"/>
    <n v="1697"/>
    <s v="Australia"/>
    <x v="219"/>
    <x v="3"/>
  </r>
  <r>
    <x v="0"/>
    <x v="5"/>
    <n v="1698"/>
    <s v="Ireland"/>
    <x v="198"/>
    <x v="2"/>
  </r>
  <r>
    <x v="4"/>
    <x v="50"/>
    <n v="1701"/>
    <s v="Japan"/>
    <x v="220"/>
    <x v="3"/>
  </r>
  <r>
    <x v="4"/>
    <x v="54"/>
    <n v="1706"/>
    <s v="France"/>
    <x v="221"/>
    <x v="0"/>
  </r>
  <r>
    <x v="7"/>
    <x v="43"/>
    <n v="1707"/>
    <s v="South Africa"/>
    <x v="222"/>
    <x v="1"/>
  </r>
  <r>
    <x v="1"/>
    <x v="7"/>
    <n v="1710"/>
    <s v="Ireland"/>
    <x v="92"/>
    <x v="2"/>
  </r>
  <r>
    <x v="5"/>
    <x v="77"/>
    <n v="1711"/>
    <s v="China"/>
    <x v="223"/>
    <x v="3"/>
  </r>
  <r>
    <x v="2"/>
    <x v="51"/>
    <n v="1717"/>
    <s v="Argentina"/>
    <x v="224"/>
    <x v="1"/>
  </r>
  <r>
    <x v="0"/>
    <x v="76"/>
    <n v="1726"/>
    <s v="India"/>
    <x v="79"/>
    <x v="1"/>
  </r>
  <r>
    <x v="4"/>
    <x v="22"/>
    <n v="1731"/>
    <s v="Australia"/>
    <x v="51"/>
    <x v="2"/>
  </r>
  <r>
    <x v="2"/>
    <x v="64"/>
    <n v="1732"/>
    <s v="France"/>
    <x v="225"/>
    <x v="3"/>
  </r>
  <r>
    <x v="4"/>
    <x v="34"/>
    <n v="1740"/>
    <s v="Japan"/>
    <x v="222"/>
    <x v="1"/>
  </r>
  <r>
    <x v="3"/>
    <x v="8"/>
    <n v="1741"/>
    <s v="France"/>
    <x v="226"/>
    <x v="3"/>
  </r>
  <r>
    <x v="3"/>
    <x v="40"/>
    <n v="1742"/>
    <s v="France"/>
    <x v="227"/>
    <x v="3"/>
  </r>
  <r>
    <x v="6"/>
    <x v="15"/>
    <n v="1746"/>
    <s v="France"/>
    <x v="118"/>
    <x v="2"/>
  </r>
  <r>
    <x v="0"/>
    <x v="39"/>
    <n v="1755"/>
    <s v="Brazil"/>
    <x v="228"/>
    <x v="2"/>
  </r>
  <r>
    <x v="5"/>
    <x v="23"/>
    <n v="1756"/>
    <s v="Brazil"/>
    <x v="229"/>
    <x v="2"/>
  </r>
  <r>
    <x v="6"/>
    <x v="36"/>
    <n v="1763"/>
    <s v="Australia"/>
    <x v="2"/>
    <x v="0"/>
  </r>
  <r>
    <x v="1"/>
    <x v="2"/>
    <n v="1770"/>
    <s v="Ireland"/>
    <x v="230"/>
    <x v="2"/>
  </r>
  <r>
    <x v="2"/>
    <x v="51"/>
    <n v="1776"/>
    <s v="China"/>
    <x v="231"/>
    <x v="0"/>
  </r>
  <r>
    <x v="4"/>
    <x v="9"/>
    <n v="1780"/>
    <s v="France"/>
    <x v="232"/>
    <x v="0"/>
  </r>
  <r>
    <x v="1"/>
    <x v="1"/>
    <n v="1780"/>
    <s v="India"/>
    <x v="233"/>
    <x v="3"/>
  </r>
  <r>
    <x v="0"/>
    <x v="5"/>
    <n v="1780"/>
    <s v="Brazil"/>
    <x v="234"/>
    <x v="2"/>
  </r>
  <r>
    <x v="7"/>
    <x v="31"/>
    <n v="1783"/>
    <s v="Australia"/>
    <x v="235"/>
    <x v="0"/>
  </r>
  <r>
    <x v="5"/>
    <x v="61"/>
    <n v="1784"/>
    <s v="South Africa"/>
    <x v="236"/>
    <x v="2"/>
  </r>
  <r>
    <x v="3"/>
    <x v="75"/>
    <n v="1787"/>
    <s v="China"/>
    <x v="237"/>
    <x v="0"/>
  </r>
  <r>
    <x v="5"/>
    <x v="61"/>
    <n v="1791"/>
    <s v="France"/>
    <x v="109"/>
    <x v="3"/>
  </r>
  <r>
    <x v="2"/>
    <x v="13"/>
    <n v="1792"/>
    <s v="Ireland"/>
    <x v="224"/>
    <x v="1"/>
  </r>
  <r>
    <x v="6"/>
    <x v="36"/>
    <n v="1792"/>
    <s v="Japan"/>
    <x v="238"/>
    <x v="1"/>
  </r>
  <r>
    <x v="5"/>
    <x v="23"/>
    <n v="1793"/>
    <s v="Ireland"/>
    <x v="239"/>
    <x v="3"/>
  </r>
  <r>
    <x v="0"/>
    <x v="33"/>
    <n v="1794"/>
    <s v="Brazil"/>
    <x v="240"/>
    <x v="0"/>
  </r>
  <r>
    <x v="7"/>
    <x v="56"/>
    <n v="1809"/>
    <s v="South Africa"/>
    <x v="241"/>
    <x v="0"/>
  </r>
  <r>
    <x v="1"/>
    <x v="68"/>
    <n v="1809"/>
    <s v="Ireland"/>
    <x v="198"/>
    <x v="2"/>
  </r>
  <r>
    <x v="4"/>
    <x v="21"/>
    <n v="1811"/>
    <s v="Australia"/>
    <x v="242"/>
    <x v="0"/>
  </r>
  <r>
    <x v="1"/>
    <x v="37"/>
    <n v="1813"/>
    <s v="Argentina"/>
    <x v="172"/>
    <x v="0"/>
  </r>
  <r>
    <x v="7"/>
    <x v="70"/>
    <n v="1815"/>
    <s v="China"/>
    <x v="243"/>
    <x v="1"/>
  </r>
  <r>
    <x v="1"/>
    <x v="46"/>
    <n v="1819"/>
    <s v="South Africa"/>
    <x v="195"/>
    <x v="1"/>
  </r>
  <r>
    <x v="7"/>
    <x v="17"/>
    <n v="1822"/>
    <s v="Argentina"/>
    <x v="244"/>
    <x v="0"/>
  </r>
  <r>
    <x v="6"/>
    <x v="12"/>
    <n v="1822"/>
    <s v="India"/>
    <x v="245"/>
    <x v="3"/>
  </r>
  <r>
    <x v="6"/>
    <x v="41"/>
    <n v="1834"/>
    <s v="China"/>
    <x v="246"/>
    <x v="1"/>
  </r>
  <r>
    <x v="4"/>
    <x v="24"/>
    <n v="1845"/>
    <s v="South Africa"/>
    <x v="91"/>
    <x v="3"/>
  </r>
  <r>
    <x v="7"/>
    <x v="43"/>
    <n v="1849"/>
    <s v="India"/>
    <x v="237"/>
    <x v="0"/>
  </r>
  <r>
    <x v="4"/>
    <x v="54"/>
    <n v="1854"/>
    <s v="France"/>
    <x v="247"/>
    <x v="3"/>
  </r>
  <r>
    <x v="6"/>
    <x v="36"/>
    <n v="1854"/>
    <s v="Japan"/>
    <x v="51"/>
    <x v="2"/>
  </r>
  <r>
    <x v="3"/>
    <x v="78"/>
    <n v="1862"/>
    <s v="France"/>
    <x v="248"/>
    <x v="3"/>
  </r>
  <r>
    <x v="3"/>
    <x v="8"/>
    <n v="1866"/>
    <s v="South Africa"/>
    <x v="143"/>
    <x v="0"/>
  </r>
  <r>
    <x v="4"/>
    <x v="22"/>
    <n v="1866"/>
    <s v="France"/>
    <x v="249"/>
    <x v="3"/>
  </r>
  <r>
    <x v="5"/>
    <x v="11"/>
    <n v="1869"/>
    <s v="France"/>
    <x v="250"/>
    <x v="3"/>
  </r>
  <r>
    <x v="1"/>
    <x v="47"/>
    <n v="1870"/>
    <s v="India"/>
    <x v="251"/>
    <x v="1"/>
  </r>
  <r>
    <x v="2"/>
    <x v="73"/>
    <n v="1871"/>
    <s v="Ireland"/>
    <x v="162"/>
    <x v="2"/>
  </r>
  <r>
    <x v="4"/>
    <x v="22"/>
    <n v="1873"/>
    <s v="Australia"/>
    <x v="14"/>
    <x v="0"/>
  </r>
  <r>
    <x v="7"/>
    <x v="56"/>
    <n v="1880"/>
    <s v="Argentina"/>
    <x v="252"/>
    <x v="2"/>
  </r>
  <r>
    <x v="2"/>
    <x v="4"/>
    <n v="1884"/>
    <s v="Portugal"/>
    <x v="253"/>
    <x v="1"/>
  </r>
  <r>
    <x v="0"/>
    <x v="5"/>
    <n v="1886"/>
    <s v="Portugal"/>
    <x v="254"/>
    <x v="1"/>
  </r>
  <r>
    <x v="0"/>
    <x v="0"/>
    <n v="1892"/>
    <s v="Ireland"/>
    <x v="178"/>
    <x v="1"/>
  </r>
  <r>
    <x v="1"/>
    <x v="7"/>
    <n v="1893"/>
    <s v="Portugal"/>
    <x v="159"/>
    <x v="3"/>
  </r>
  <r>
    <x v="2"/>
    <x v="62"/>
    <n v="1905"/>
    <s v="South Africa"/>
    <x v="159"/>
    <x v="3"/>
  </r>
  <r>
    <x v="3"/>
    <x v="44"/>
    <n v="1912"/>
    <s v="Ireland"/>
    <x v="255"/>
    <x v="1"/>
  </r>
  <r>
    <x v="5"/>
    <x v="63"/>
    <n v="1913"/>
    <s v="Portugal"/>
    <x v="235"/>
    <x v="0"/>
  </r>
  <r>
    <x v="4"/>
    <x v="79"/>
    <n v="1919"/>
    <s v="Japan"/>
    <x v="256"/>
    <x v="1"/>
  </r>
  <r>
    <x v="2"/>
    <x v="51"/>
    <n v="1921"/>
    <s v="South Africa"/>
    <x v="257"/>
    <x v="0"/>
  </r>
  <r>
    <x v="4"/>
    <x v="21"/>
    <n v="1921"/>
    <s v="India"/>
    <x v="258"/>
    <x v="1"/>
  </r>
  <r>
    <x v="1"/>
    <x v="2"/>
    <n v="1930"/>
    <s v="Australia"/>
    <x v="259"/>
    <x v="3"/>
  </r>
  <r>
    <x v="2"/>
    <x v="4"/>
    <n v="1931"/>
    <s v="Japan"/>
    <x v="260"/>
    <x v="1"/>
  </r>
  <r>
    <x v="0"/>
    <x v="3"/>
    <n v="1938"/>
    <s v="Japan"/>
    <x v="261"/>
    <x v="0"/>
  </r>
  <r>
    <x v="5"/>
    <x v="69"/>
    <n v="1948"/>
    <s v="India"/>
    <x v="129"/>
    <x v="1"/>
  </r>
  <r>
    <x v="5"/>
    <x v="69"/>
    <n v="1951"/>
    <s v="Japan"/>
    <x v="165"/>
    <x v="0"/>
  </r>
  <r>
    <x v="2"/>
    <x v="45"/>
    <n v="1955"/>
    <s v="China"/>
    <x v="262"/>
    <x v="0"/>
  </r>
  <r>
    <x v="0"/>
    <x v="30"/>
    <n v="1962"/>
    <s v="South Africa"/>
    <x v="210"/>
    <x v="3"/>
  </r>
  <r>
    <x v="5"/>
    <x v="11"/>
    <n v="1964"/>
    <s v="France"/>
    <x v="263"/>
    <x v="2"/>
  </r>
  <r>
    <x v="2"/>
    <x v="49"/>
    <n v="1966"/>
    <s v="Argentina"/>
    <x v="1"/>
    <x v="1"/>
  </r>
  <r>
    <x v="5"/>
    <x v="77"/>
    <n v="1968"/>
    <s v="Argentina"/>
    <x v="29"/>
    <x v="2"/>
  </r>
  <r>
    <x v="2"/>
    <x v="45"/>
    <n v="1970"/>
    <s v="Ireland"/>
    <x v="188"/>
    <x v="3"/>
  </r>
  <r>
    <x v="5"/>
    <x v="60"/>
    <n v="1974"/>
    <s v="Argentina"/>
    <x v="264"/>
    <x v="1"/>
  </r>
  <r>
    <x v="4"/>
    <x v="79"/>
    <n v="1976"/>
    <s v="Argentina"/>
    <x v="265"/>
    <x v="2"/>
  </r>
  <r>
    <x v="6"/>
    <x v="12"/>
    <n v="1980"/>
    <s v="Japan"/>
    <x v="266"/>
    <x v="2"/>
  </r>
  <r>
    <x v="4"/>
    <x v="21"/>
    <n v="1981"/>
    <s v="India"/>
    <x v="228"/>
    <x v="2"/>
  </r>
  <r>
    <x v="5"/>
    <x v="63"/>
    <n v="1982"/>
    <s v="Ireland"/>
    <x v="0"/>
    <x v="0"/>
  </r>
  <r>
    <x v="2"/>
    <x v="80"/>
    <n v="1991"/>
    <s v="China"/>
    <x v="267"/>
    <x v="3"/>
  </r>
  <r>
    <x v="4"/>
    <x v="74"/>
    <n v="1994"/>
    <s v="Portugal"/>
    <x v="268"/>
    <x v="0"/>
  </r>
  <r>
    <x v="4"/>
    <x v="79"/>
    <n v="1996"/>
    <s v="South Africa"/>
    <x v="95"/>
    <x v="3"/>
  </r>
  <r>
    <x v="5"/>
    <x v="10"/>
    <n v="1997"/>
    <s v="Ireland"/>
    <x v="269"/>
    <x v="1"/>
  </r>
  <r>
    <x v="2"/>
    <x v="64"/>
    <n v="2000"/>
    <s v="India"/>
    <x v="122"/>
    <x v="0"/>
  </r>
  <r>
    <x v="4"/>
    <x v="50"/>
    <n v="2003"/>
    <s v="China"/>
    <x v="270"/>
    <x v="2"/>
  </r>
  <r>
    <x v="4"/>
    <x v="27"/>
    <n v="2003"/>
    <s v="Australia"/>
    <x v="271"/>
    <x v="2"/>
  </r>
  <r>
    <x v="0"/>
    <x v="66"/>
    <n v="2007"/>
    <s v="France"/>
    <x v="272"/>
    <x v="2"/>
  </r>
  <r>
    <x v="5"/>
    <x v="65"/>
    <n v="2011"/>
    <s v="China"/>
    <x v="113"/>
    <x v="0"/>
  </r>
  <r>
    <x v="2"/>
    <x v="42"/>
    <n v="2013"/>
    <s v="Ireland"/>
    <x v="57"/>
    <x v="2"/>
  </r>
  <r>
    <x v="4"/>
    <x v="50"/>
    <n v="2015"/>
    <s v="South Africa"/>
    <x v="273"/>
    <x v="1"/>
  </r>
  <r>
    <x v="4"/>
    <x v="9"/>
    <n v="2019"/>
    <s v="China"/>
    <x v="274"/>
    <x v="0"/>
  </r>
  <r>
    <x v="7"/>
    <x v="43"/>
    <n v="2019"/>
    <s v="Brazil"/>
    <x v="275"/>
    <x v="2"/>
  </r>
  <r>
    <x v="2"/>
    <x v="45"/>
    <n v="2022"/>
    <s v="South Africa"/>
    <x v="265"/>
    <x v="2"/>
  </r>
  <r>
    <x v="2"/>
    <x v="45"/>
    <n v="2024"/>
    <s v="China"/>
    <x v="269"/>
    <x v="1"/>
  </r>
  <r>
    <x v="2"/>
    <x v="45"/>
    <n v="2025"/>
    <s v="South Africa"/>
    <x v="276"/>
    <x v="1"/>
  </r>
  <r>
    <x v="7"/>
    <x v="70"/>
    <n v="2028"/>
    <s v="Australia"/>
    <x v="277"/>
    <x v="0"/>
  </r>
  <r>
    <x v="2"/>
    <x v="42"/>
    <n v="2028"/>
    <s v="Japan"/>
    <x v="38"/>
    <x v="2"/>
  </r>
  <r>
    <x v="3"/>
    <x v="48"/>
    <n v="2030"/>
    <s v="Argentina"/>
    <x v="8"/>
    <x v="3"/>
  </r>
  <r>
    <x v="0"/>
    <x v="33"/>
    <n v="2031"/>
    <s v="Argentina"/>
    <x v="278"/>
    <x v="3"/>
  </r>
  <r>
    <x v="0"/>
    <x v="66"/>
    <n v="2034"/>
    <s v="France"/>
    <x v="60"/>
    <x v="0"/>
  </r>
  <r>
    <x v="5"/>
    <x v="53"/>
    <n v="2037"/>
    <s v="Argentina"/>
    <x v="279"/>
    <x v="3"/>
  </r>
  <r>
    <x v="5"/>
    <x v="60"/>
    <n v="2049"/>
    <s v="Argentina"/>
    <x v="121"/>
    <x v="1"/>
  </r>
  <r>
    <x v="1"/>
    <x v="47"/>
    <n v="2055"/>
    <s v="Ireland"/>
    <x v="280"/>
    <x v="1"/>
  </r>
  <r>
    <x v="3"/>
    <x v="48"/>
    <n v="2055"/>
    <s v="Portugal"/>
    <x v="92"/>
    <x v="2"/>
  </r>
  <r>
    <x v="7"/>
    <x v="17"/>
    <n v="2062"/>
    <s v="Japan"/>
    <x v="281"/>
    <x v="3"/>
  </r>
  <r>
    <x v="6"/>
    <x v="15"/>
    <n v="2070"/>
    <s v="Brazil"/>
    <x v="156"/>
    <x v="1"/>
  </r>
  <r>
    <x v="3"/>
    <x v="26"/>
    <n v="2071"/>
    <s v="South Africa"/>
    <x v="4"/>
    <x v="2"/>
  </r>
  <r>
    <x v="2"/>
    <x v="73"/>
    <n v="2074"/>
    <s v="South Africa"/>
    <x v="282"/>
    <x v="3"/>
  </r>
  <r>
    <x v="4"/>
    <x v="27"/>
    <n v="2076"/>
    <s v="Portugal"/>
    <x v="187"/>
    <x v="3"/>
  </r>
  <r>
    <x v="5"/>
    <x v="53"/>
    <n v="2078"/>
    <s v="Australia"/>
    <x v="283"/>
    <x v="0"/>
  </r>
  <r>
    <x v="4"/>
    <x v="24"/>
    <n v="2082"/>
    <s v="India"/>
    <x v="284"/>
    <x v="3"/>
  </r>
  <r>
    <x v="7"/>
    <x v="17"/>
    <n v="2082"/>
    <s v="South Africa"/>
    <x v="142"/>
    <x v="2"/>
  </r>
  <r>
    <x v="1"/>
    <x v="35"/>
    <n v="2083"/>
    <s v="India"/>
    <x v="285"/>
    <x v="2"/>
  </r>
  <r>
    <x v="1"/>
    <x v="35"/>
    <n v="2086"/>
    <s v="Brazil"/>
    <x v="108"/>
    <x v="0"/>
  </r>
  <r>
    <x v="1"/>
    <x v="46"/>
    <n v="2087"/>
    <s v="South Africa"/>
    <x v="286"/>
    <x v="0"/>
  </r>
  <r>
    <x v="5"/>
    <x v="23"/>
    <n v="2091"/>
    <s v="Portugal"/>
    <x v="287"/>
    <x v="3"/>
  </r>
  <r>
    <x v="5"/>
    <x v="23"/>
    <n v="2093"/>
    <s v="Brazil"/>
    <x v="288"/>
    <x v="3"/>
  </r>
  <r>
    <x v="3"/>
    <x v="40"/>
    <n v="2098"/>
    <s v="Brazil"/>
    <x v="35"/>
    <x v="0"/>
  </r>
  <r>
    <x v="5"/>
    <x v="23"/>
    <n v="2102"/>
    <s v="Ireland"/>
    <x v="289"/>
    <x v="2"/>
  </r>
  <r>
    <x v="2"/>
    <x v="59"/>
    <n v="2103"/>
    <s v="Portugal"/>
    <x v="41"/>
    <x v="0"/>
  </r>
  <r>
    <x v="3"/>
    <x v="44"/>
    <n v="2103"/>
    <s v="Ireland"/>
    <x v="290"/>
    <x v="0"/>
  </r>
  <r>
    <x v="2"/>
    <x v="42"/>
    <n v="2105"/>
    <s v="China"/>
    <x v="183"/>
    <x v="2"/>
  </r>
  <r>
    <x v="1"/>
    <x v="68"/>
    <n v="2107"/>
    <s v="Argentina"/>
    <x v="44"/>
    <x v="1"/>
  </r>
  <r>
    <x v="4"/>
    <x v="24"/>
    <n v="2110"/>
    <s v="South Africa"/>
    <x v="178"/>
    <x v="1"/>
  </r>
  <r>
    <x v="3"/>
    <x v="78"/>
    <n v="2111"/>
    <s v="Ireland"/>
    <x v="5"/>
    <x v="2"/>
  </r>
  <r>
    <x v="2"/>
    <x v="51"/>
    <n v="2120"/>
    <s v="Portugal"/>
    <x v="160"/>
    <x v="0"/>
  </r>
  <r>
    <x v="7"/>
    <x v="72"/>
    <n v="2120"/>
    <s v="Argentina"/>
    <x v="291"/>
    <x v="2"/>
  </r>
  <r>
    <x v="4"/>
    <x v="20"/>
    <n v="2124"/>
    <s v="India"/>
    <x v="213"/>
    <x v="3"/>
  </r>
  <r>
    <x v="2"/>
    <x v="45"/>
    <n v="2130"/>
    <s v="Brazil"/>
    <x v="292"/>
    <x v="2"/>
  </r>
  <r>
    <x v="7"/>
    <x v="17"/>
    <n v="2134"/>
    <s v="Portugal"/>
    <x v="72"/>
    <x v="0"/>
  </r>
  <r>
    <x v="0"/>
    <x v="3"/>
    <n v="2135"/>
    <s v="China"/>
    <x v="293"/>
    <x v="3"/>
  </r>
  <r>
    <x v="1"/>
    <x v="68"/>
    <n v="2138"/>
    <s v="Portugal"/>
    <x v="121"/>
    <x v="1"/>
  </r>
  <r>
    <x v="2"/>
    <x v="64"/>
    <n v="2151"/>
    <s v="Argentina"/>
    <x v="294"/>
    <x v="1"/>
  </r>
  <r>
    <x v="1"/>
    <x v="68"/>
    <n v="2152"/>
    <s v="Argentina"/>
    <x v="295"/>
    <x v="1"/>
  </r>
  <r>
    <x v="4"/>
    <x v="34"/>
    <n v="2153"/>
    <s v="France"/>
    <x v="296"/>
    <x v="3"/>
  </r>
  <r>
    <x v="2"/>
    <x v="42"/>
    <n v="2157"/>
    <s v="Argentina"/>
    <x v="5"/>
    <x v="2"/>
  </r>
  <r>
    <x v="0"/>
    <x v="3"/>
    <n v="2158"/>
    <s v="Portugal"/>
    <x v="83"/>
    <x v="3"/>
  </r>
  <r>
    <x v="7"/>
    <x v="17"/>
    <n v="2177"/>
    <s v="Ireland"/>
    <x v="93"/>
    <x v="2"/>
  </r>
  <r>
    <x v="1"/>
    <x v="25"/>
    <n v="2178"/>
    <s v="Argentina"/>
    <x v="253"/>
    <x v="1"/>
  </r>
  <r>
    <x v="7"/>
    <x v="56"/>
    <n v="2178"/>
    <s v="Portugal"/>
    <x v="297"/>
    <x v="2"/>
  </r>
  <r>
    <x v="5"/>
    <x v="63"/>
    <n v="2179"/>
    <s v="Argentina"/>
    <x v="162"/>
    <x v="2"/>
  </r>
  <r>
    <x v="2"/>
    <x v="49"/>
    <n v="2180"/>
    <s v="India"/>
    <x v="298"/>
    <x v="3"/>
  </r>
  <r>
    <x v="5"/>
    <x v="67"/>
    <n v="2194"/>
    <s v="Australia"/>
    <x v="299"/>
    <x v="0"/>
  </r>
  <r>
    <x v="1"/>
    <x v="47"/>
    <n v="2196"/>
    <s v="Japan"/>
    <x v="161"/>
    <x v="1"/>
  </r>
  <r>
    <x v="0"/>
    <x v="30"/>
    <n v="2200"/>
    <s v="Australia"/>
    <x v="151"/>
    <x v="0"/>
  </r>
  <r>
    <x v="5"/>
    <x v="55"/>
    <n v="2203"/>
    <s v="Japan"/>
    <x v="87"/>
    <x v="0"/>
  </r>
  <r>
    <x v="1"/>
    <x v="57"/>
    <n v="2207"/>
    <s v="China"/>
    <x v="300"/>
    <x v="0"/>
  </r>
  <r>
    <x v="5"/>
    <x v="23"/>
    <n v="2211"/>
    <s v="Australia"/>
    <x v="301"/>
    <x v="3"/>
  </r>
  <r>
    <x v="2"/>
    <x v="6"/>
    <n v="2213"/>
    <s v="Portugal"/>
    <x v="302"/>
    <x v="1"/>
  </r>
  <r>
    <x v="5"/>
    <x v="77"/>
    <n v="2214"/>
    <s v="South Africa"/>
    <x v="303"/>
    <x v="1"/>
  </r>
  <r>
    <x v="1"/>
    <x v="35"/>
    <n v="2220"/>
    <s v="Ireland"/>
    <x v="304"/>
    <x v="0"/>
  </r>
  <r>
    <x v="3"/>
    <x v="75"/>
    <n v="2221"/>
    <s v="Brazil"/>
    <x v="283"/>
    <x v="0"/>
  </r>
  <r>
    <x v="0"/>
    <x v="33"/>
    <n v="2226"/>
    <s v="Portugal"/>
    <x v="305"/>
    <x v="2"/>
  </r>
  <r>
    <x v="2"/>
    <x v="28"/>
    <n v="2227"/>
    <s v="Brazil"/>
    <x v="15"/>
    <x v="2"/>
  </r>
  <r>
    <x v="4"/>
    <x v="21"/>
    <n v="2230"/>
    <s v="Portugal"/>
    <x v="35"/>
    <x v="0"/>
  </r>
  <r>
    <x v="5"/>
    <x v="77"/>
    <n v="2230"/>
    <s v="China"/>
    <x v="306"/>
    <x v="1"/>
  </r>
  <r>
    <x v="1"/>
    <x v="68"/>
    <n v="2234"/>
    <s v="Japan"/>
    <x v="193"/>
    <x v="1"/>
  </r>
  <r>
    <x v="2"/>
    <x v="4"/>
    <n v="2235"/>
    <s v="India"/>
    <x v="120"/>
    <x v="1"/>
  </r>
  <r>
    <x v="1"/>
    <x v="7"/>
    <n v="2236"/>
    <s v="Australia"/>
    <x v="307"/>
    <x v="0"/>
  </r>
  <r>
    <x v="3"/>
    <x v="40"/>
    <n v="2236"/>
    <s v="Australia"/>
    <x v="308"/>
    <x v="0"/>
  </r>
  <r>
    <x v="5"/>
    <x v="23"/>
    <n v="2236"/>
    <s v="Australia"/>
    <x v="176"/>
    <x v="1"/>
  </r>
  <r>
    <x v="1"/>
    <x v="25"/>
    <n v="2239"/>
    <s v="South Africa"/>
    <x v="123"/>
    <x v="0"/>
  </r>
  <r>
    <x v="4"/>
    <x v="52"/>
    <n v="2240"/>
    <s v="China"/>
    <x v="309"/>
    <x v="1"/>
  </r>
  <r>
    <x v="4"/>
    <x v="50"/>
    <n v="2245"/>
    <s v="Japan"/>
    <x v="253"/>
    <x v="1"/>
  </r>
  <r>
    <x v="4"/>
    <x v="24"/>
    <n v="2246"/>
    <s v="Argentina"/>
    <x v="310"/>
    <x v="0"/>
  </r>
  <r>
    <x v="3"/>
    <x v="75"/>
    <n v="2246"/>
    <s v="India"/>
    <x v="193"/>
    <x v="1"/>
  </r>
  <r>
    <x v="1"/>
    <x v="2"/>
    <n v="2250"/>
    <s v="Brazil"/>
    <x v="311"/>
    <x v="0"/>
  </r>
  <r>
    <x v="3"/>
    <x v="44"/>
    <n v="2251"/>
    <s v="Argentina"/>
    <x v="312"/>
    <x v="2"/>
  </r>
  <r>
    <x v="1"/>
    <x v="7"/>
    <n v="2254"/>
    <s v="France"/>
    <x v="253"/>
    <x v="1"/>
  </r>
  <r>
    <x v="1"/>
    <x v="47"/>
    <n v="2260"/>
    <s v="Brazil"/>
    <x v="142"/>
    <x v="2"/>
  </r>
  <r>
    <x v="4"/>
    <x v="24"/>
    <n v="2263"/>
    <s v="Japan"/>
    <x v="313"/>
    <x v="0"/>
  </r>
  <r>
    <x v="3"/>
    <x v="58"/>
    <n v="2266"/>
    <s v="Brazil"/>
    <x v="314"/>
    <x v="0"/>
  </r>
  <r>
    <x v="0"/>
    <x v="5"/>
    <n v="2266"/>
    <s v="India"/>
    <x v="315"/>
    <x v="1"/>
  </r>
  <r>
    <x v="5"/>
    <x v="63"/>
    <n v="2266"/>
    <s v="India"/>
    <x v="306"/>
    <x v="1"/>
  </r>
  <r>
    <x v="4"/>
    <x v="79"/>
    <n v="2267"/>
    <s v="China"/>
    <x v="316"/>
    <x v="3"/>
  </r>
  <r>
    <x v="4"/>
    <x v="29"/>
    <n v="2275"/>
    <s v="Australia"/>
    <x v="299"/>
    <x v="0"/>
  </r>
  <r>
    <x v="4"/>
    <x v="34"/>
    <n v="2275"/>
    <s v="Portugal"/>
    <x v="317"/>
    <x v="0"/>
  </r>
  <r>
    <x v="2"/>
    <x v="19"/>
    <n v="2283"/>
    <s v="India"/>
    <x v="199"/>
    <x v="1"/>
  </r>
  <r>
    <x v="5"/>
    <x v="60"/>
    <n v="2296"/>
    <s v="China"/>
    <x v="3"/>
    <x v="2"/>
  </r>
  <r>
    <x v="6"/>
    <x v="12"/>
    <n v="2297"/>
    <s v="South Africa"/>
    <x v="318"/>
    <x v="3"/>
  </r>
  <r>
    <x v="4"/>
    <x v="79"/>
    <n v="2298"/>
    <s v="Ireland"/>
    <x v="253"/>
    <x v="1"/>
  </r>
  <r>
    <x v="2"/>
    <x v="64"/>
    <n v="2299"/>
    <s v="Portugal"/>
    <x v="186"/>
    <x v="3"/>
  </r>
  <r>
    <x v="3"/>
    <x v="71"/>
    <n v="2305"/>
    <s v="South Africa"/>
    <x v="211"/>
    <x v="0"/>
  </r>
  <r>
    <x v="4"/>
    <x v="18"/>
    <n v="2311"/>
    <s v="Portugal"/>
    <x v="319"/>
    <x v="1"/>
  </r>
  <r>
    <x v="2"/>
    <x v="45"/>
    <n v="2312"/>
    <s v="France"/>
    <x v="320"/>
    <x v="1"/>
  </r>
  <r>
    <x v="3"/>
    <x v="48"/>
    <n v="2313"/>
    <s v="China"/>
    <x v="182"/>
    <x v="1"/>
  </r>
  <r>
    <x v="2"/>
    <x v="73"/>
    <n v="2317"/>
    <s v="India"/>
    <x v="120"/>
    <x v="1"/>
  </r>
  <r>
    <x v="1"/>
    <x v="1"/>
    <n v="2323"/>
    <s v="Argentina"/>
    <x v="321"/>
    <x v="0"/>
  </r>
  <r>
    <x v="0"/>
    <x v="39"/>
    <n v="2323"/>
    <s v="China"/>
    <x v="322"/>
    <x v="1"/>
  </r>
  <r>
    <x v="3"/>
    <x v="78"/>
    <n v="2326"/>
    <s v="Australia"/>
    <x v="323"/>
    <x v="1"/>
  </r>
  <r>
    <x v="2"/>
    <x v="80"/>
    <n v="2334"/>
    <s v="Australia"/>
    <x v="324"/>
    <x v="2"/>
  </r>
  <r>
    <x v="5"/>
    <x v="65"/>
    <n v="2337"/>
    <s v="Japan"/>
    <x v="325"/>
    <x v="0"/>
  </r>
  <r>
    <x v="5"/>
    <x v="77"/>
    <n v="2339"/>
    <s v="India"/>
    <x v="326"/>
    <x v="1"/>
  </r>
  <r>
    <x v="1"/>
    <x v="47"/>
    <n v="2339"/>
    <s v="France"/>
    <x v="327"/>
    <x v="1"/>
  </r>
  <r>
    <x v="7"/>
    <x v="17"/>
    <n v="2348"/>
    <s v="India"/>
    <x v="328"/>
    <x v="2"/>
  </r>
  <r>
    <x v="3"/>
    <x v="26"/>
    <n v="2355"/>
    <s v="France"/>
    <x v="219"/>
    <x v="3"/>
  </r>
  <r>
    <x v="1"/>
    <x v="1"/>
    <n v="2356"/>
    <s v="France"/>
    <x v="148"/>
    <x v="1"/>
  </r>
  <r>
    <x v="0"/>
    <x v="3"/>
    <n v="2357"/>
    <s v="Portugal"/>
    <x v="24"/>
    <x v="1"/>
  </r>
  <r>
    <x v="0"/>
    <x v="39"/>
    <n v="2361"/>
    <s v="India"/>
    <x v="31"/>
    <x v="2"/>
  </r>
  <r>
    <x v="7"/>
    <x v="56"/>
    <n v="2368"/>
    <s v="Portugal"/>
    <x v="90"/>
    <x v="1"/>
  </r>
  <r>
    <x v="3"/>
    <x v="8"/>
    <n v="2369"/>
    <s v="France"/>
    <x v="329"/>
    <x v="3"/>
  </r>
  <r>
    <x v="4"/>
    <x v="20"/>
    <n v="2370"/>
    <s v="Brazil"/>
    <x v="315"/>
    <x v="1"/>
  </r>
  <r>
    <x v="4"/>
    <x v="29"/>
    <n v="2379"/>
    <s v="Brazil"/>
    <x v="330"/>
    <x v="0"/>
  </r>
  <r>
    <x v="4"/>
    <x v="29"/>
    <n v="2383"/>
    <s v="Argentina"/>
    <x v="331"/>
    <x v="3"/>
  </r>
  <r>
    <x v="6"/>
    <x v="12"/>
    <n v="2385"/>
    <s v="Brazil"/>
    <x v="332"/>
    <x v="1"/>
  </r>
  <r>
    <x v="4"/>
    <x v="34"/>
    <n v="2388"/>
    <s v="Argentina"/>
    <x v="333"/>
    <x v="1"/>
  </r>
  <r>
    <x v="7"/>
    <x v="56"/>
    <n v="2388"/>
    <s v="Argentina"/>
    <x v="334"/>
    <x v="1"/>
  </r>
  <r>
    <x v="2"/>
    <x v="32"/>
    <n v="2390"/>
    <s v="Japan"/>
    <x v="262"/>
    <x v="0"/>
  </r>
  <r>
    <x v="2"/>
    <x v="49"/>
    <n v="2392"/>
    <s v="Ireland"/>
    <x v="335"/>
    <x v="3"/>
  </r>
  <r>
    <x v="3"/>
    <x v="40"/>
    <n v="2401"/>
    <s v="China"/>
    <x v="211"/>
    <x v="0"/>
  </r>
  <r>
    <x v="2"/>
    <x v="80"/>
    <n v="2403"/>
    <s v="France"/>
    <x v="336"/>
    <x v="2"/>
  </r>
  <r>
    <x v="3"/>
    <x v="48"/>
    <n v="2405"/>
    <s v="Brazil"/>
    <x v="269"/>
    <x v="1"/>
  </r>
  <r>
    <x v="4"/>
    <x v="74"/>
    <n v="2405"/>
    <s v="Australia"/>
    <x v="337"/>
    <x v="3"/>
  </r>
  <r>
    <x v="7"/>
    <x v="70"/>
    <n v="2416"/>
    <s v="France"/>
    <x v="21"/>
    <x v="3"/>
  </r>
  <r>
    <x v="2"/>
    <x v="73"/>
    <n v="2417"/>
    <s v="China"/>
    <x v="338"/>
    <x v="3"/>
  </r>
  <r>
    <x v="4"/>
    <x v="79"/>
    <n v="2418"/>
    <s v="Japan"/>
    <x v="339"/>
    <x v="2"/>
  </r>
  <r>
    <x v="1"/>
    <x v="37"/>
    <n v="2418"/>
    <s v="Portugal"/>
    <x v="340"/>
    <x v="2"/>
  </r>
  <r>
    <x v="4"/>
    <x v="52"/>
    <n v="2426"/>
    <s v="Australia"/>
    <x v="341"/>
    <x v="2"/>
  </r>
  <r>
    <x v="4"/>
    <x v="27"/>
    <n v="2431"/>
    <s v="Japan"/>
    <x v="169"/>
    <x v="3"/>
  </r>
  <r>
    <x v="2"/>
    <x v="42"/>
    <n v="2433"/>
    <s v="Australia"/>
    <x v="301"/>
    <x v="3"/>
  </r>
  <r>
    <x v="1"/>
    <x v="37"/>
    <n v="2433"/>
    <s v="Brazil"/>
    <x v="263"/>
    <x v="2"/>
  </r>
  <r>
    <x v="5"/>
    <x v="69"/>
    <n v="2435"/>
    <s v="France"/>
    <x v="162"/>
    <x v="2"/>
  </r>
  <r>
    <x v="4"/>
    <x v="18"/>
    <n v="2443"/>
    <s v="India"/>
    <x v="263"/>
    <x v="2"/>
  </r>
  <r>
    <x v="5"/>
    <x v="23"/>
    <n v="2445"/>
    <s v="France"/>
    <x v="253"/>
    <x v="1"/>
  </r>
  <r>
    <x v="2"/>
    <x v="51"/>
    <n v="2447"/>
    <s v="India"/>
    <x v="342"/>
    <x v="1"/>
  </r>
  <r>
    <x v="5"/>
    <x v="23"/>
    <n v="2448"/>
    <s v="Japan"/>
    <x v="260"/>
    <x v="1"/>
  </r>
  <r>
    <x v="4"/>
    <x v="24"/>
    <n v="2450"/>
    <s v="Brazil"/>
    <x v="49"/>
    <x v="0"/>
  </r>
  <r>
    <x v="6"/>
    <x v="15"/>
    <n v="2451"/>
    <s v="Australia"/>
    <x v="343"/>
    <x v="1"/>
  </r>
  <r>
    <x v="5"/>
    <x v="53"/>
    <n v="2455"/>
    <s v="Australia"/>
    <x v="201"/>
    <x v="1"/>
  </r>
  <r>
    <x v="4"/>
    <x v="27"/>
    <n v="2457"/>
    <s v="Portugal"/>
    <x v="88"/>
    <x v="2"/>
  </r>
  <r>
    <x v="4"/>
    <x v="22"/>
    <n v="2464"/>
    <s v="Portugal"/>
    <x v="49"/>
    <x v="0"/>
  </r>
  <r>
    <x v="4"/>
    <x v="29"/>
    <n v="2465"/>
    <s v="Ireland"/>
    <x v="338"/>
    <x v="3"/>
  </r>
  <r>
    <x v="2"/>
    <x v="28"/>
    <n v="2470"/>
    <s v="France"/>
    <x v="194"/>
    <x v="2"/>
  </r>
  <r>
    <x v="4"/>
    <x v="20"/>
    <n v="2471"/>
    <s v="Brazil"/>
    <x v="344"/>
    <x v="3"/>
  </r>
  <r>
    <x v="3"/>
    <x v="40"/>
    <n v="2477"/>
    <s v="Japan"/>
    <x v="124"/>
    <x v="1"/>
  </r>
  <r>
    <x v="2"/>
    <x v="28"/>
    <n v="2484"/>
    <s v="Portugal"/>
    <x v="345"/>
    <x v="0"/>
  </r>
  <r>
    <x v="4"/>
    <x v="22"/>
    <n v="2484"/>
    <s v="South Africa"/>
    <x v="148"/>
    <x v="1"/>
  </r>
  <r>
    <x v="1"/>
    <x v="7"/>
    <n v="2485"/>
    <s v="Argentina"/>
    <x v="253"/>
    <x v="1"/>
  </r>
  <r>
    <x v="4"/>
    <x v="34"/>
    <n v="2488"/>
    <s v="South Africa"/>
    <x v="346"/>
    <x v="0"/>
  </r>
  <r>
    <x v="5"/>
    <x v="60"/>
    <n v="2488"/>
    <s v="Brazil"/>
    <x v="347"/>
    <x v="3"/>
  </r>
  <r>
    <x v="7"/>
    <x v="43"/>
    <n v="2488"/>
    <s v="South Africa"/>
    <x v="348"/>
    <x v="2"/>
  </r>
  <r>
    <x v="1"/>
    <x v="57"/>
    <n v="2493"/>
    <s v="India"/>
    <x v="227"/>
    <x v="3"/>
  </r>
  <r>
    <x v="2"/>
    <x v="80"/>
    <n v="2495"/>
    <s v="South Africa"/>
    <x v="145"/>
    <x v="1"/>
  </r>
  <r>
    <x v="4"/>
    <x v="20"/>
    <n v="2503"/>
    <s v="Argentina"/>
    <x v="34"/>
    <x v="2"/>
  </r>
  <r>
    <x v="4"/>
    <x v="79"/>
    <n v="2509"/>
    <s v="Argentina"/>
    <x v="349"/>
    <x v="1"/>
  </r>
  <r>
    <x v="2"/>
    <x v="80"/>
    <n v="2514"/>
    <s v="India"/>
    <x v="350"/>
    <x v="1"/>
  </r>
  <r>
    <x v="2"/>
    <x v="45"/>
    <n v="2522"/>
    <s v="Brazil"/>
    <x v="343"/>
    <x v="1"/>
  </r>
  <r>
    <x v="5"/>
    <x v="67"/>
    <n v="2524"/>
    <s v="Brazil"/>
    <x v="351"/>
    <x v="1"/>
  </r>
  <r>
    <x v="4"/>
    <x v="50"/>
    <n v="2527"/>
    <s v="India"/>
    <x v="352"/>
    <x v="2"/>
  </r>
  <r>
    <x v="1"/>
    <x v="68"/>
    <n v="2528"/>
    <s v="France"/>
    <x v="48"/>
    <x v="3"/>
  </r>
  <r>
    <x v="6"/>
    <x v="15"/>
    <n v="2529"/>
    <s v="South Africa"/>
    <x v="222"/>
    <x v="1"/>
  </r>
  <r>
    <x v="3"/>
    <x v="26"/>
    <n v="2532"/>
    <s v="China"/>
    <x v="353"/>
    <x v="3"/>
  </r>
  <r>
    <x v="6"/>
    <x v="12"/>
    <n v="2533"/>
    <s v="France"/>
    <x v="208"/>
    <x v="1"/>
  </r>
  <r>
    <x v="5"/>
    <x v="60"/>
    <n v="2544"/>
    <s v="Ireland"/>
    <x v="28"/>
    <x v="2"/>
  </r>
  <r>
    <x v="1"/>
    <x v="7"/>
    <n v="2549"/>
    <s v="China"/>
    <x v="354"/>
    <x v="2"/>
  </r>
  <r>
    <x v="0"/>
    <x v="0"/>
    <n v="2552"/>
    <s v="Brazil"/>
    <x v="355"/>
    <x v="2"/>
  </r>
  <r>
    <x v="0"/>
    <x v="0"/>
    <n v="2556"/>
    <s v="China"/>
    <x v="356"/>
    <x v="1"/>
  </r>
  <r>
    <x v="4"/>
    <x v="20"/>
    <n v="2558"/>
    <s v="Australia"/>
    <x v="327"/>
    <x v="1"/>
  </r>
  <r>
    <x v="3"/>
    <x v="44"/>
    <n v="2563"/>
    <s v="China"/>
    <x v="357"/>
    <x v="3"/>
  </r>
  <r>
    <x v="2"/>
    <x v="13"/>
    <n v="2566"/>
    <s v="Ireland"/>
    <x v="358"/>
    <x v="3"/>
  </r>
  <r>
    <x v="4"/>
    <x v="24"/>
    <n v="2573"/>
    <s v="Portugal"/>
    <x v="129"/>
    <x v="1"/>
  </r>
  <r>
    <x v="4"/>
    <x v="24"/>
    <n v="2574"/>
    <s v="France"/>
    <x v="229"/>
    <x v="2"/>
  </r>
  <r>
    <x v="0"/>
    <x v="33"/>
    <n v="2578"/>
    <s v="Australia"/>
    <x v="359"/>
    <x v="1"/>
  </r>
  <r>
    <x v="6"/>
    <x v="41"/>
    <n v="2586"/>
    <s v="Portugal"/>
    <x v="360"/>
    <x v="2"/>
  </r>
  <r>
    <x v="4"/>
    <x v="74"/>
    <n v="2587"/>
    <s v="Argentina"/>
    <x v="153"/>
    <x v="1"/>
  </r>
  <r>
    <x v="4"/>
    <x v="79"/>
    <n v="2589"/>
    <s v="Portugal"/>
    <x v="93"/>
    <x v="2"/>
  </r>
  <r>
    <x v="3"/>
    <x v="8"/>
    <n v="2591"/>
    <s v="Brazil"/>
    <x v="361"/>
    <x v="1"/>
  </r>
  <r>
    <x v="5"/>
    <x v="69"/>
    <n v="2603"/>
    <s v="India"/>
    <x v="362"/>
    <x v="2"/>
  </r>
  <r>
    <x v="0"/>
    <x v="30"/>
    <n v="2604"/>
    <s v="Australia"/>
    <x v="363"/>
    <x v="2"/>
  </r>
  <r>
    <x v="4"/>
    <x v="22"/>
    <n v="2606"/>
    <s v="India"/>
    <x v="260"/>
    <x v="1"/>
  </r>
  <r>
    <x v="1"/>
    <x v="46"/>
    <n v="2606"/>
    <s v="France"/>
    <x v="364"/>
    <x v="3"/>
  </r>
  <r>
    <x v="4"/>
    <x v="50"/>
    <n v="2612"/>
    <s v="Brazil"/>
    <x v="365"/>
    <x v="0"/>
  </r>
  <r>
    <x v="0"/>
    <x v="0"/>
    <n v="2621"/>
    <s v="Australia"/>
    <x v="366"/>
    <x v="2"/>
  </r>
  <r>
    <x v="0"/>
    <x v="14"/>
    <n v="2623"/>
    <s v="South Africa"/>
    <x v="367"/>
    <x v="0"/>
  </r>
  <r>
    <x v="5"/>
    <x v="60"/>
    <n v="2626"/>
    <s v="Japan"/>
    <x v="10"/>
    <x v="3"/>
  </r>
  <r>
    <x v="2"/>
    <x v="13"/>
    <n v="2629"/>
    <s v="Brazil"/>
    <x v="368"/>
    <x v="0"/>
  </r>
  <r>
    <x v="2"/>
    <x v="62"/>
    <n v="2632"/>
    <s v="India"/>
    <x v="369"/>
    <x v="2"/>
  </r>
  <r>
    <x v="2"/>
    <x v="42"/>
    <n v="2632"/>
    <s v="China"/>
    <x v="63"/>
    <x v="2"/>
  </r>
  <r>
    <x v="2"/>
    <x v="59"/>
    <n v="2633"/>
    <s v="Australia"/>
    <x v="222"/>
    <x v="1"/>
  </r>
  <r>
    <x v="0"/>
    <x v="66"/>
    <n v="2638"/>
    <s v="Australia"/>
    <x v="370"/>
    <x v="1"/>
  </r>
  <r>
    <x v="5"/>
    <x v="55"/>
    <n v="2644"/>
    <s v="Japan"/>
    <x v="371"/>
    <x v="1"/>
  </r>
  <r>
    <x v="1"/>
    <x v="47"/>
    <n v="2645"/>
    <s v="Japan"/>
    <x v="372"/>
    <x v="3"/>
  </r>
  <r>
    <x v="7"/>
    <x v="70"/>
    <n v="2648"/>
    <s v="Japan"/>
    <x v="373"/>
    <x v="2"/>
  </r>
  <r>
    <x v="4"/>
    <x v="24"/>
    <n v="2650"/>
    <s v="Australia"/>
    <x v="374"/>
    <x v="3"/>
  </r>
  <r>
    <x v="6"/>
    <x v="36"/>
    <n v="2652"/>
    <s v="India"/>
    <x v="78"/>
    <x v="0"/>
  </r>
  <r>
    <x v="0"/>
    <x v="5"/>
    <n v="2652"/>
    <s v="Portugal"/>
    <x v="139"/>
    <x v="1"/>
  </r>
  <r>
    <x v="3"/>
    <x v="75"/>
    <n v="2670"/>
    <s v="Portugal"/>
    <x v="280"/>
    <x v="1"/>
  </r>
  <r>
    <x v="1"/>
    <x v="25"/>
    <n v="2674"/>
    <s v="Australia"/>
    <x v="165"/>
    <x v="0"/>
  </r>
  <r>
    <x v="4"/>
    <x v="22"/>
    <n v="2675"/>
    <s v="Ireland"/>
    <x v="375"/>
    <x v="0"/>
  </r>
  <r>
    <x v="4"/>
    <x v="22"/>
    <n v="2685"/>
    <s v="Ireland"/>
    <x v="197"/>
    <x v="3"/>
  </r>
  <r>
    <x v="2"/>
    <x v="80"/>
    <n v="2688"/>
    <s v="Japan"/>
    <x v="376"/>
    <x v="3"/>
  </r>
  <r>
    <x v="0"/>
    <x v="66"/>
    <n v="2689"/>
    <s v="India"/>
    <x v="186"/>
    <x v="3"/>
  </r>
  <r>
    <x v="0"/>
    <x v="76"/>
    <n v="2691"/>
    <s v="India"/>
    <x v="253"/>
    <x v="1"/>
  </r>
  <r>
    <x v="4"/>
    <x v="54"/>
    <n v="2691"/>
    <s v="France"/>
    <x v="377"/>
    <x v="2"/>
  </r>
  <r>
    <x v="5"/>
    <x v="55"/>
    <n v="2700"/>
    <s v="Argentina"/>
    <x v="378"/>
    <x v="2"/>
  </r>
  <r>
    <x v="3"/>
    <x v="48"/>
    <n v="2702"/>
    <s v="Ireland"/>
    <x v="379"/>
    <x v="3"/>
  </r>
  <r>
    <x v="5"/>
    <x v="63"/>
    <n v="2702"/>
    <s v="India"/>
    <x v="360"/>
    <x v="2"/>
  </r>
  <r>
    <x v="3"/>
    <x v="75"/>
    <n v="2705"/>
    <s v="China"/>
    <x v="380"/>
    <x v="1"/>
  </r>
  <r>
    <x v="3"/>
    <x v="75"/>
    <n v="2709"/>
    <s v="Argentina"/>
    <x v="63"/>
    <x v="2"/>
  </r>
  <r>
    <x v="1"/>
    <x v="35"/>
    <n v="2710"/>
    <s v="Australia"/>
    <x v="381"/>
    <x v="3"/>
  </r>
  <r>
    <x v="0"/>
    <x v="66"/>
    <n v="2721"/>
    <s v="Australia"/>
    <x v="382"/>
    <x v="3"/>
  </r>
  <r>
    <x v="2"/>
    <x v="73"/>
    <n v="2723"/>
    <s v="Japan"/>
    <x v="117"/>
    <x v="0"/>
  </r>
  <r>
    <x v="0"/>
    <x v="76"/>
    <n v="2734"/>
    <s v="France"/>
    <x v="260"/>
    <x v="1"/>
  </r>
  <r>
    <x v="7"/>
    <x v="31"/>
    <n v="2738"/>
    <s v="Argentina"/>
    <x v="60"/>
    <x v="0"/>
  </r>
  <r>
    <x v="0"/>
    <x v="0"/>
    <n v="2740"/>
    <s v="China"/>
    <x v="383"/>
    <x v="2"/>
  </r>
  <r>
    <x v="1"/>
    <x v="2"/>
    <n v="2740"/>
    <s v="Argentina"/>
    <x v="93"/>
    <x v="2"/>
  </r>
  <r>
    <x v="7"/>
    <x v="72"/>
    <n v="2744"/>
    <s v="India"/>
    <x v="333"/>
    <x v="1"/>
  </r>
  <r>
    <x v="1"/>
    <x v="68"/>
    <n v="2748"/>
    <s v="France"/>
    <x v="286"/>
    <x v="0"/>
  </r>
  <r>
    <x v="3"/>
    <x v="8"/>
    <n v="2748"/>
    <s v="China"/>
    <x v="76"/>
    <x v="3"/>
  </r>
  <r>
    <x v="6"/>
    <x v="15"/>
    <n v="2750"/>
    <s v="India"/>
    <x v="299"/>
    <x v="0"/>
  </r>
  <r>
    <x v="4"/>
    <x v="9"/>
    <n v="2752"/>
    <s v="Portugal"/>
    <x v="320"/>
    <x v="1"/>
  </r>
  <r>
    <x v="5"/>
    <x v="67"/>
    <n v="2754"/>
    <s v="India"/>
    <x v="56"/>
    <x v="3"/>
  </r>
  <r>
    <x v="5"/>
    <x v="69"/>
    <n v="2756"/>
    <s v="Japan"/>
    <x v="367"/>
    <x v="0"/>
  </r>
  <r>
    <x v="4"/>
    <x v="22"/>
    <n v="2759"/>
    <s v="Japan"/>
    <x v="194"/>
    <x v="2"/>
  </r>
  <r>
    <x v="5"/>
    <x v="65"/>
    <n v="2760"/>
    <s v="India"/>
    <x v="1"/>
    <x v="1"/>
  </r>
  <r>
    <x v="6"/>
    <x v="12"/>
    <n v="2761"/>
    <s v="France"/>
    <x v="128"/>
    <x v="0"/>
  </r>
  <r>
    <x v="0"/>
    <x v="66"/>
    <n v="2761"/>
    <s v="India"/>
    <x v="384"/>
    <x v="2"/>
  </r>
  <r>
    <x v="2"/>
    <x v="59"/>
    <n v="2762"/>
    <s v="Argentina"/>
    <x v="8"/>
    <x v="3"/>
  </r>
  <r>
    <x v="2"/>
    <x v="6"/>
    <n v="2763"/>
    <s v="Brazil"/>
    <x v="102"/>
    <x v="3"/>
  </r>
  <r>
    <x v="4"/>
    <x v="18"/>
    <n v="2764"/>
    <s v="Portugal"/>
    <x v="164"/>
    <x v="3"/>
  </r>
  <r>
    <x v="4"/>
    <x v="52"/>
    <n v="2772"/>
    <s v="South Africa"/>
    <x v="22"/>
    <x v="1"/>
  </r>
  <r>
    <x v="4"/>
    <x v="24"/>
    <n v="2777"/>
    <s v="South Africa"/>
    <x v="385"/>
    <x v="2"/>
  </r>
  <r>
    <x v="2"/>
    <x v="59"/>
    <n v="2781"/>
    <s v="Brazil"/>
    <x v="386"/>
    <x v="3"/>
  </r>
  <r>
    <x v="7"/>
    <x v="31"/>
    <n v="2783"/>
    <s v="South Africa"/>
    <x v="387"/>
    <x v="0"/>
  </r>
  <r>
    <x v="2"/>
    <x v="62"/>
    <n v="2785"/>
    <s v="France"/>
    <x v="388"/>
    <x v="0"/>
  </r>
  <r>
    <x v="2"/>
    <x v="6"/>
    <n v="2796"/>
    <s v="Argentina"/>
    <x v="389"/>
    <x v="1"/>
  </r>
  <r>
    <x v="0"/>
    <x v="30"/>
    <n v="2797"/>
    <s v="Brazil"/>
    <x v="177"/>
    <x v="1"/>
  </r>
  <r>
    <x v="1"/>
    <x v="25"/>
    <n v="2801"/>
    <s v="India"/>
    <x v="390"/>
    <x v="1"/>
  </r>
  <r>
    <x v="3"/>
    <x v="40"/>
    <n v="2806"/>
    <s v="Ireland"/>
    <x v="2"/>
    <x v="0"/>
  </r>
  <r>
    <x v="4"/>
    <x v="29"/>
    <n v="2818"/>
    <s v="Argentina"/>
    <x v="391"/>
    <x v="3"/>
  </r>
  <r>
    <x v="6"/>
    <x v="38"/>
    <n v="2822"/>
    <s v="Argentina"/>
    <x v="392"/>
    <x v="3"/>
  </r>
  <r>
    <x v="4"/>
    <x v="27"/>
    <n v="2824"/>
    <s v="South Africa"/>
    <x v="393"/>
    <x v="3"/>
  </r>
  <r>
    <x v="6"/>
    <x v="38"/>
    <n v="2828"/>
    <s v="India"/>
    <x v="338"/>
    <x v="3"/>
  </r>
  <r>
    <x v="4"/>
    <x v="50"/>
    <n v="2845"/>
    <s v="China"/>
    <x v="43"/>
    <x v="0"/>
  </r>
  <r>
    <x v="5"/>
    <x v="77"/>
    <n v="2848"/>
    <s v="Australia"/>
    <x v="394"/>
    <x v="2"/>
  </r>
  <r>
    <x v="0"/>
    <x v="3"/>
    <n v="2849"/>
    <s v="France"/>
    <x v="395"/>
    <x v="1"/>
  </r>
  <r>
    <x v="4"/>
    <x v="22"/>
    <n v="2849"/>
    <s v="France"/>
    <x v="394"/>
    <x v="2"/>
  </r>
  <r>
    <x v="2"/>
    <x v="6"/>
    <n v="2853"/>
    <s v="Australia"/>
    <x v="97"/>
    <x v="1"/>
  </r>
  <r>
    <x v="7"/>
    <x v="17"/>
    <n v="2861"/>
    <s v="Ireland"/>
    <x v="396"/>
    <x v="3"/>
  </r>
  <r>
    <x v="2"/>
    <x v="4"/>
    <n v="2869"/>
    <s v="China"/>
    <x v="397"/>
    <x v="1"/>
  </r>
  <r>
    <x v="5"/>
    <x v="69"/>
    <n v="2878"/>
    <s v="Portugal"/>
    <x v="10"/>
    <x v="3"/>
  </r>
  <r>
    <x v="7"/>
    <x v="31"/>
    <n v="2889"/>
    <s v="Ireland"/>
    <x v="331"/>
    <x v="3"/>
  </r>
  <r>
    <x v="2"/>
    <x v="51"/>
    <n v="2893"/>
    <s v="South Africa"/>
    <x v="173"/>
    <x v="1"/>
  </r>
  <r>
    <x v="2"/>
    <x v="19"/>
    <n v="2895"/>
    <s v="Brazil"/>
    <x v="398"/>
    <x v="1"/>
  </r>
  <r>
    <x v="2"/>
    <x v="62"/>
    <n v="2903"/>
    <s v="Argentina"/>
    <x v="230"/>
    <x v="2"/>
  </r>
  <r>
    <x v="0"/>
    <x v="66"/>
    <n v="2908"/>
    <s v="Ireland"/>
    <x v="31"/>
    <x v="2"/>
  </r>
  <r>
    <x v="5"/>
    <x v="23"/>
    <n v="2913"/>
    <s v="Australia"/>
    <x v="399"/>
    <x v="3"/>
  </r>
  <r>
    <x v="2"/>
    <x v="59"/>
    <n v="2919"/>
    <s v="Ireland"/>
    <x v="262"/>
    <x v="0"/>
  </r>
  <r>
    <x v="4"/>
    <x v="54"/>
    <n v="2925"/>
    <s v="Japan"/>
    <x v="400"/>
    <x v="1"/>
  </r>
  <r>
    <x v="0"/>
    <x v="39"/>
    <n v="2931"/>
    <s v="Argentina"/>
    <x v="246"/>
    <x v="1"/>
  </r>
  <r>
    <x v="4"/>
    <x v="50"/>
    <n v="2934"/>
    <s v="Argentina"/>
    <x v="70"/>
    <x v="2"/>
  </r>
  <r>
    <x v="7"/>
    <x v="43"/>
    <n v="2936"/>
    <s v="Ireland"/>
    <x v="42"/>
    <x v="0"/>
  </r>
  <r>
    <x v="3"/>
    <x v="71"/>
    <n v="2936"/>
    <s v="Japan"/>
    <x v="177"/>
    <x v="1"/>
  </r>
  <r>
    <x v="1"/>
    <x v="2"/>
    <n v="2938"/>
    <s v="China"/>
    <x v="286"/>
    <x v="0"/>
  </r>
  <r>
    <x v="1"/>
    <x v="35"/>
    <n v="2938"/>
    <s v="India"/>
    <x v="401"/>
    <x v="3"/>
  </r>
  <r>
    <x v="4"/>
    <x v="79"/>
    <n v="2941"/>
    <s v="India"/>
    <x v="132"/>
    <x v="2"/>
  </r>
  <r>
    <x v="5"/>
    <x v="11"/>
    <n v="2943"/>
    <s v="Portugal"/>
    <x v="153"/>
    <x v="1"/>
  </r>
  <r>
    <x v="3"/>
    <x v="26"/>
    <n v="2945"/>
    <s v="Argentina"/>
    <x v="209"/>
    <x v="0"/>
  </r>
  <r>
    <x v="5"/>
    <x v="69"/>
    <n v="2946"/>
    <s v="Australia"/>
    <x v="360"/>
    <x v="2"/>
  </r>
  <r>
    <x v="4"/>
    <x v="34"/>
    <n v="2957"/>
    <s v="China"/>
    <x v="345"/>
    <x v="0"/>
  </r>
  <r>
    <x v="6"/>
    <x v="12"/>
    <n v="2961"/>
    <s v="South Africa"/>
    <x v="401"/>
    <x v="3"/>
  </r>
  <r>
    <x v="2"/>
    <x v="42"/>
    <n v="2963"/>
    <s v="Portugal"/>
    <x v="182"/>
    <x v="1"/>
  </r>
  <r>
    <x v="4"/>
    <x v="9"/>
    <n v="2966"/>
    <s v="Brazil"/>
    <x v="402"/>
    <x v="3"/>
  </r>
  <r>
    <x v="2"/>
    <x v="28"/>
    <n v="2966"/>
    <s v="Ireland"/>
    <x v="68"/>
    <x v="3"/>
  </r>
  <r>
    <x v="4"/>
    <x v="79"/>
    <n v="2976"/>
    <s v="South Africa"/>
    <x v="252"/>
    <x v="2"/>
  </r>
  <r>
    <x v="1"/>
    <x v="37"/>
    <n v="2978"/>
    <s v="Brazil"/>
    <x v="155"/>
    <x v="0"/>
  </r>
  <r>
    <x v="2"/>
    <x v="73"/>
    <n v="2978"/>
    <s v="Argentina"/>
    <x v="403"/>
    <x v="2"/>
  </r>
  <r>
    <x v="4"/>
    <x v="52"/>
    <n v="2981"/>
    <s v="Ireland"/>
    <x v="404"/>
    <x v="2"/>
  </r>
  <r>
    <x v="3"/>
    <x v="71"/>
    <n v="2983"/>
    <s v="South Africa"/>
    <x v="405"/>
    <x v="1"/>
  </r>
  <r>
    <x v="1"/>
    <x v="68"/>
    <n v="2995"/>
    <s v="India"/>
    <x v="110"/>
    <x v="2"/>
  </r>
  <r>
    <x v="4"/>
    <x v="34"/>
    <n v="2996"/>
    <s v="France"/>
    <x v="406"/>
    <x v="1"/>
  </r>
  <r>
    <x v="4"/>
    <x v="27"/>
    <n v="2996"/>
    <s v="Japan"/>
    <x v="6"/>
    <x v="1"/>
  </r>
  <r>
    <x v="4"/>
    <x v="74"/>
    <n v="3001"/>
    <s v="Argentina"/>
    <x v="407"/>
    <x v="1"/>
  </r>
  <r>
    <x v="2"/>
    <x v="45"/>
    <n v="3004"/>
    <s v="France"/>
    <x v="382"/>
    <x v="3"/>
  </r>
  <r>
    <x v="3"/>
    <x v="26"/>
    <n v="3005"/>
    <s v="Portugal"/>
    <x v="236"/>
    <x v="2"/>
  </r>
  <r>
    <x v="5"/>
    <x v="55"/>
    <n v="3009"/>
    <s v="Ireland"/>
    <x v="321"/>
    <x v="0"/>
  </r>
  <r>
    <x v="0"/>
    <x v="0"/>
    <n v="3009"/>
    <s v="Argentina"/>
    <x v="161"/>
    <x v="1"/>
  </r>
  <r>
    <x v="4"/>
    <x v="18"/>
    <n v="3020"/>
    <s v="India"/>
    <x v="34"/>
    <x v="2"/>
  </r>
  <r>
    <x v="2"/>
    <x v="45"/>
    <n v="3033"/>
    <s v="South Africa"/>
    <x v="364"/>
    <x v="3"/>
  </r>
  <r>
    <x v="5"/>
    <x v="63"/>
    <n v="3043"/>
    <s v="Portugal"/>
    <x v="283"/>
    <x v="0"/>
  </r>
  <r>
    <x v="6"/>
    <x v="41"/>
    <n v="3044"/>
    <s v="Brazil"/>
    <x v="408"/>
    <x v="0"/>
  </r>
  <r>
    <x v="4"/>
    <x v="22"/>
    <n v="3044"/>
    <s v="South Africa"/>
    <x v="360"/>
    <x v="2"/>
  </r>
  <r>
    <x v="5"/>
    <x v="11"/>
    <n v="3046"/>
    <s v="South Africa"/>
    <x v="409"/>
    <x v="0"/>
  </r>
  <r>
    <x v="2"/>
    <x v="64"/>
    <n v="3049"/>
    <s v="China"/>
    <x v="229"/>
    <x v="2"/>
  </r>
  <r>
    <x v="1"/>
    <x v="2"/>
    <n v="3049"/>
    <s v="South Africa"/>
    <x v="354"/>
    <x v="2"/>
  </r>
  <r>
    <x v="2"/>
    <x v="4"/>
    <n v="3051"/>
    <s v="Argentina"/>
    <x v="218"/>
    <x v="3"/>
  </r>
  <r>
    <x v="4"/>
    <x v="20"/>
    <n v="3060"/>
    <s v="Ireland"/>
    <x v="410"/>
    <x v="0"/>
  </r>
  <r>
    <x v="0"/>
    <x v="5"/>
    <n v="3064"/>
    <s v="Ireland"/>
    <x v="8"/>
    <x v="3"/>
  </r>
  <r>
    <x v="2"/>
    <x v="73"/>
    <n v="3068"/>
    <s v="Ireland"/>
    <x v="395"/>
    <x v="1"/>
  </r>
  <r>
    <x v="4"/>
    <x v="52"/>
    <n v="3068"/>
    <s v="France"/>
    <x v="19"/>
    <x v="3"/>
  </r>
  <r>
    <x v="3"/>
    <x v="71"/>
    <n v="3074"/>
    <s v="Argentina"/>
    <x v="411"/>
    <x v="3"/>
  </r>
  <r>
    <x v="2"/>
    <x v="28"/>
    <n v="3075"/>
    <s v="Argentina"/>
    <x v="328"/>
    <x v="2"/>
  </r>
  <r>
    <x v="0"/>
    <x v="66"/>
    <n v="3079"/>
    <s v="France"/>
    <x v="52"/>
    <x v="2"/>
  </r>
  <r>
    <x v="5"/>
    <x v="10"/>
    <n v="3086"/>
    <s v="Ireland"/>
    <x v="412"/>
    <x v="0"/>
  </r>
  <r>
    <x v="3"/>
    <x v="71"/>
    <n v="3086"/>
    <s v="Portugal"/>
    <x v="149"/>
    <x v="1"/>
  </r>
  <r>
    <x v="3"/>
    <x v="26"/>
    <n v="3089"/>
    <s v="Australia"/>
    <x v="413"/>
    <x v="3"/>
  </r>
  <r>
    <x v="1"/>
    <x v="25"/>
    <n v="3090"/>
    <s v="Brazil"/>
    <x v="264"/>
    <x v="1"/>
  </r>
  <r>
    <x v="2"/>
    <x v="6"/>
    <n v="3094"/>
    <s v="Brazil"/>
    <x v="241"/>
    <x v="0"/>
  </r>
  <r>
    <x v="6"/>
    <x v="15"/>
    <n v="3095"/>
    <s v="China"/>
    <x v="27"/>
    <x v="1"/>
  </r>
  <r>
    <x v="1"/>
    <x v="2"/>
    <n v="3095"/>
    <s v="Brazil"/>
    <x v="270"/>
    <x v="2"/>
  </r>
  <r>
    <x v="1"/>
    <x v="47"/>
    <n v="3098"/>
    <s v="Brazil"/>
    <x v="325"/>
    <x v="0"/>
  </r>
  <r>
    <x v="3"/>
    <x v="40"/>
    <n v="3104"/>
    <s v="Argentina"/>
    <x v="166"/>
    <x v="3"/>
  </r>
  <r>
    <x v="3"/>
    <x v="78"/>
    <n v="3105"/>
    <s v="Japan"/>
    <x v="414"/>
    <x v="0"/>
  </r>
  <r>
    <x v="4"/>
    <x v="22"/>
    <n v="3112"/>
    <s v="Brazil"/>
    <x v="415"/>
    <x v="0"/>
  </r>
  <r>
    <x v="1"/>
    <x v="7"/>
    <n v="3115"/>
    <s v="Argentina"/>
    <x v="260"/>
    <x v="1"/>
  </r>
  <r>
    <x v="3"/>
    <x v="48"/>
    <n v="3115"/>
    <s v="India"/>
    <x v="416"/>
    <x v="1"/>
  </r>
  <r>
    <x v="5"/>
    <x v="61"/>
    <n v="3119"/>
    <s v="France"/>
    <x v="153"/>
    <x v="1"/>
  </r>
  <r>
    <x v="6"/>
    <x v="36"/>
    <n v="3120"/>
    <s v="Brazil"/>
    <x v="0"/>
    <x v="0"/>
  </r>
  <r>
    <x v="4"/>
    <x v="54"/>
    <n v="3124"/>
    <s v="France"/>
    <x v="417"/>
    <x v="1"/>
  </r>
  <r>
    <x v="6"/>
    <x v="15"/>
    <n v="3127"/>
    <s v="Australia"/>
    <x v="418"/>
    <x v="2"/>
  </r>
  <r>
    <x v="6"/>
    <x v="41"/>
    <n v="3131"/>
    <s v="South Africa"/>
    <x v="115"/>
    <x v="1"/>
  </r>
  <r>
    <x v="3"/>
    <x v="48"/>
    <n v="3135"/>
    <s v="Brazil"/>
    <x v="167"/>
    <x v="0"/>
  </r>
  <r>
    <x v="1"/>
    <x v="47"/>
    <n v="3137"/>
    <s v="South Africa"/>
    <x v="419"/>
    <x v="0"/>
  </r>
  <r>
    <x v="1"/>
    <x v="57"/>
    <n v="3141"/>
    <s v="China"/>
    <x v="228"/>
    <x v="2"/>
  </r>
  <r>
    <x v="4"/>
    <x v="52"/>
    <n v="3145"/>
    <s v="Japan"/>
    <x v="240"/>
    <x v="0"/>
  </r>
  <r>
    <x v="6"/>
    <x v="41"/>
    <n v="3149"/>
    <s v="Argentina"/>
    <x v="420"/>
    <x v="2"/>
  </r>
  <r>
    <x v="2"/>
    <x v="64"/>
    <n v="3156"/>
    <s v="China"/>
    <x v="418"/>
    <x v="2"/>
  </r>
  <r>
    <x v="4"/>
    <x v="54"/>
    <n v="3157"/>
    <s v="Portugal"/>
    <x v="102"/>
    <x v="3"/>
  </r>
  <r>
    <x v="4"/>
    <x v="20"/>
    <n v="3158"/>
    <s v="Australia"/>
    <x v="126"/>
    <x v="1"/>
  </r>
  <r>
    <x v="5"/>
    <x v="10"/>
    <n v="3161"/>
    <s v="Argentina"/>
    <x v="283"/>
    <x v="0"/>
  </r>
  <r>
    <x v="4"/>
    <x v="18"/>
    <n v="3176"/>
    <s v="Brazil"/>
    <x v="421"/>
    <x v="3"/>
  </r>
  <r>
    <x v="2"/>
    <x v="32"/>
    <n v="3180"/>
    <s v="Argentina"/>
    <x v="422"/>
    <x v="0"/>
  </r>
  <r>
    <x v="5"/>
    <x v="55"/>
    <n v="3182"/>
    <s v="Australia"/>
    <x v="331"/>
    <x v="3"/>
  </r>
  <r>
    <x v="1"/>
    <x v="1"/>
    <n v="3186"/>
    <s v="Argentina"/>
    <x v="423"/>
    <x v="1"/>
  </r>
  <r>
    <x v="2"/>
    <x v="51"/>
    <n v="3193"/>
    <s v="France"/>
    <x v="7"/>
    <x v="3"/>
  </r>
  <r>
    <x v="3"/>
    <x v="71"/>
    <n v="3195"/>
    <s v="China"/>
    <x v="243"/>
    <x v="1"/>
  </r>
  <r>
    <x v="3"/>
    <x v="58"/>
    <n v="3199"/>
    <s v="Japan"/>
    <x v="240"/>
    <x v="0"/>
  </r>
  <r>
    <x v="3"/>
    <x v="8"/>
    <n v="3202"/>
    <s v="Brazil"/>
    <x v="22"/>
    <x v="1"/>
  </r>
  <r>
    <x v="1"/>
    <x v="68"/>
    <n v="3208"/>
    <s v="Australia"/>
    <x v="424"/>
    <x v="1"/>
  </r>
  <r>
    <x v="3"/>
    <x v="16"/>
    <n v="3216"/>
    <s v="China"/>
    <x v="425"/>
    <x v="1"/>
  </r>
  <r>
    <x v="0"/>
    <x v="3"/>
    <n v="3221"/>
    <s v="Portugal"/>
    <x v="82"/>
    <x v="1"/>
  </r>
  <r>
    <x v="0"/>
    <x v="76"/>
    <n v="3224"/>
    <s v="China"/>
    <x v="181"/>
    <x v="2"/>
  </r>
  <r>
    <x v="1"/>
    <x v="68"/>
    <n v="3225"/>
    <s v="Argentina"/>
    <x v="274"/>
    <x v="0"/>
  </r>
  <r>
    <x v="0"/>
    <x v="0"/>
    <n v="3232"/>
    <s v="Brazil"/>
    <x v="304"/>
    <x v="0"/>
  </r>
  <r>
    <x v="1"/>
    <x v="25"/>
    <n v="3232"/>
    <s v="Argentina"/>
    <x v="426"/>
    <x v="2"/>
  </r>
  <r>
    <x v="0"/>
    <x v="66"/>
    <n v="3235"/>
    <s v="Ireland"/>
    <x v="427"/>
    <x v="0"/>
  </r>
  <r>
    <x v="1"/>
    <x v="2"/>
    <n v="3241"/>
    <s v="Argentina"/>
    <x v="428"/>
    <x v="0"/>
  </r>
  <r>
    <x v="4"/>
    <x v="27"/>
    <n v="3244"/>
    <s v="Brazil"/>
    <x v="89"/>
    <x v="3"/>
  </r>
  <r>
    <x v="2"/>
    <x v="59"/>
    <n v="3245"/>
    <s v="Argentina"/>
    <x v="429"/>
    <x v="0"/>
  </r>
  <r>
    <x v="5"/>
    <x v="60"/>
    <n v="3251"/>
    <s v="China"/>
    <x v="430"/>
    <x v="1"/>
  </r>
  <r>
    <x v="3"/>
    <x v="40"/>
    <n v="3253"/>
    <s v="Argentina"/>
    <x v="204"/>
    <x v="3"/>
  </r>
  <r>
    <x v="0"/>
    <x v="30"/>
    <n v="3256"/>
    <s v="France"/>
    <x v="179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x v="0"/>
    <s v="French's"/>
    <x v="0"/>
    <x v="0"/>
    <x v="0"/>
    <s v="Q1"/>
  </r>
  <r>
    <x v="1"/>
    <s v="Shelton Poultry Produce"/>
    <x v="1"/>
    <x v="1"/>
    <x v="1"/>
    <s v="Q2"/>
  </r>
  <r>
    <x v="1"/>
    <s v="Banquet Chicken"/>
    <x v="2"/>
    <x v="2"/>
    <x v="2"/>
    <s v="Q1"/>
  </r>
  <r>
    <x v="0"/>
    <s v="Mang Tomas"/>
    <x v="3"/>
    <x v="3"/>
    <x v="3"/>
    <s v="Q4"/>
  </r>
  <r>
    <x v="1"/>
    <s v="Banquet Chicken"/>
    <x v="3"/>
    <x v="4"/>
    <x v="4"/>
    <s v="Q4"/>
  </r>
  <r>
    <x v="2"/>
    <s v="Heart to Heart"/>
    <x v="4"/>
    <x v="5"/>
    <x v="5"/>
    <s v="Q4"/>
  </r>
  <r>
    <x v="0"/>
    <s v="Trappey's Hot Sauce"/>
    <x v="5"/>
    <x v="1"/>
    <x v="6"/>
    <s v="Q2"/>
  </r>
  <r>
    <x v="2"/>
    <s v="Sultana Bran"/>
    <x v="6"/>
    <x v="1"/>
    <x v="7"/>
    <s v="Q3"/>
  </r>
  <r>
    <x v="1"/>
    <s v="Toledano Wings"/>
    <x v="7"/>
    <x v="6"/>
    <x v="8"/>
    <s v="Q3"/>
  </r>
  <r>
    <x v="3"/>
    <s v="Heiniken"/>
    <x v="8"/>
    <x v="5"/>
    <x v="9"/>
    <s v="Q4"/>
  </r>
  <r>
    <x v="4"/>
    <s v="Sjora"/>
    <x v="9"/>
    <x v="7"/>
    <x v="10"/>
    <s v="Q3"/>
  </r>
  <r>
    <x v="5"/>
    <s v="Fantails"/>
    <x v="10"/>
    <x v="0"/>
    <x v="11"/>
    <s v="Q2"/>
  </r>
  <r>
    <x v="5"/>
    <s v="Bassett's Sour Squirms"/>
    <x v="11"/>
    <x v="7"/>
    <x v="12"/>
    <s v="Q1"/>
  </r>
  <r>
    <x v="6"/>
    <s v="Chicken of the Sea"/>
    <x v="11"/>
    <x v="2"/>
    <x v="13"/>
    <s v="Q3"/>
  </r>
  <r>
    <x v="2"/>
    <s v="Reese's Puffs"/>
    <x v="12"/>
    <x v="1"/>
    <x v="14"/>
    <s v="Q1"/>
  </r>
  <r>
    <x v="0"/>
    <s v="Homepride"/>
    <x v="13"/>
    <x v="3"/>
    <x v="15"/>
    <s v="Q4"/>
  </r>
  <r>
    <x v="6"/>
    <s v="Something Fishy"/>
    <x v="14"/>
    <x v="0"/>
    <x v="16"/>
    <s v="Q2"/>
  </r>
  <r>
    <x v="3"/>
    <s v="Ecco Domani"/>
    <x v="15"/>
    <x v="8"/>
    <x v="17"/>
    <s v="Q1"/>
  </r>
  <r>
    <x v="7"/>
    <s v="Rose's Marmalade"/>
    <x v="16"/>
    <x v="3"/>
    <x v="18"/>
    <s v="Q1"/>
  </r>
  <r>
    <x v="4"/>
    <s v="Bovril"/>
    <x v="17"/>
    <x v="6"/>
    <x v="19"/>
    <s v="Q3"/>
  </r>
  <r>
    <x v="2"/>
    <s v="Granola"/>
    <x v="18"/>
    <x v="8"/>
    <x v="20"/>
    <s v="Q4"/>
  </r>
  <r>
    <x v="4"/>
    <s v="Horlicks"/>
    <x v="19"/>
    <x v="3"/>
    <x v="21"/>
    <s v="Q3"/>
  </r>
  <r>
    <x v="4"/>
    <s v="Barleycup"/>
    <x v="20"/>
    <x v="8"/>
    <x v="22"/>
    <s v="Q2"/>
  </r>
  <r>
    <x v="4"/>
    <s v="PDQ Chocolate"/>
    <x v="21"/>
    <x v="8"/>
    <x v="23"/>
    <s v="Q4"/>
  </r>
  <r>
    <x v="5"/>
    <s v="Mintolas"/>
    <x v="22"/>
    <x v="9"/>
    <x v="24"/>
    <s v="Q2"/>
  </r>
  <r>
    <x v="4"/>
    <s v="Gold Spot"/>
    <x v="23"/>
    <x v="0"/>
    <x v="25"/>
    <s v="Q4"/>
  </r>
  <r>
    <x v="5"/>
    <s v="Bassett's Sour Squirms"/>
    <x v="24"/>
    <x v="1"/>
    <x v="26"/>
    <s v="Q2"/>
  </r>
  <r>
    <x v="1"/>
    <s v="Pepperoni Pit"/>
    <x v="24"/>
    <x v="4"/>
    <x v="27"/>
    <s v="Q2"/>
  </r>
  <r>
    <x v="3"/>
    <s v="Kentucky Common Beer"/>
    <x v="25"/>
    <x v="9"/>
    <x v="28"/>
    <s v="Q4"/>
  </r>
  <r>
    <x v="4"/>
    <s v="Nutrimato"/>
    <x v="26"/>
    <x v="8"/>
    <x v="29"/>
    <s v="Q4"/>
  </r>
  <r>
    <x v="5"/>
    <s v="Mintolas"/>
    <x v="27"/>
    <x v="3"/>
    <x v="30"/>
    <s v="Q2"/>
  </r>
  <r>
    <x v="4"/>
    <s v="Bovril"/>
    <x v="28"/>
    <x v="1"/>
    <x v="31"/>
    <s v="Q4"/>
  </r>
  <r>
    <x v="2"/>
    <s v="Chocolate Oat Crunch Life"/>
    <x v="29"/>
    <x v="4"/>
    <x v="32"/>
    <s v="Q1"/>
  </r>
  <r>
    <x v="4"/>
    <s v="Bovril"/>
    <x v="30"/>
    <x v="6"/>
    <x v="33"/>
    <s v="Q2"/>
  </r>
  <r>
    <x v="4"/>
    <s v="Cravendale"/>
    <x v="31"/>
    <x v="5"/>
    <x v="34"/>
    <s v="Q4"/>
  </r>
  <r>
    <x v="0"/>
    <s v="Plochman's"/>
    <x v="32"/>
    <x v="6"/>
    <x v="35"/>
    <s v="Q1"/>
  </r>
  <r>
    <x v="1"/>
    <s v="Shelton Poultry Produce"/>
    <x v="33"/>
    <x v="1"/>
    <x v="36"/>
    <s v="Q4"/>
  </r>
  <r>
    <x v="7"/>
    <s v="Gale's Curd"/>
    <x v="34"/>
    <x v="1"/>
    <x v="37"/>
    <s v="Q1"/>
  </r>
  <r>
    <x v="2"/>
    <s v="Bart's Peanut Butter Chocolate Crunch"/>
    <x v="35"/>
    <x v="4"/>
    <x v="38"/>
    <s v="Q4"/>
  </r>
  <r>
    <x v="0"/>
    <s v="Maull's barbecue sauce"/>
    <x v="36"/>
    <x v="8"/>
    <x v="39"/>
    <s v="Q4"/>
  </r>
  <r>
    <x v="5"/>
    <s v="Mintolas"/>
    <x v="36"/>
    <x v="7"/>
    <x v="40"/>
    <s v="Q4"/>
  </r>
  <r>
    <x v="4"/>
    <s v="Lipton Brisk"/>
    <x v="37"/>
    <x v="1"/>
    <x v="41"/>
    <s v="Q1"/>
  </r>
  <r>
    <x v="1"/>
    <s v="Pilgrims Pride"/>
    <x v="38"/>
    <x v="2"/>
    <x v="42"/>
    <s v="Q1"/>
  </r>
  <r>
    <x v="7"/>
    <s v="Gale's Curd"/>
    <x v="39"/>
    <x v="9"/>
    <x v="43"/>
    <s v="Q1"/>
  </r>
  <r>
    <x v="6"/>
    <s v="Lobsters by the Bay"/>
    <x v="40"/>
    <x v="1"/>
    <x v="44"/>
    <s v="Q2"/>
  </r>
  <r>
    <x v="1"/>
    <s v="Pot Pie"/>
    <x v="41"/>
    <x v="2"/>
    <x v="45"/>
    <s v="Q4"/>
  </r>
  <r>
    <x v="6"/>
    <s v="Jack's Shrimp"/>
    <x v="42"/>
    <x v="1"/>
    <x v="46"/>
    <s v="Q3"/>
  </r>
  <r>
    <x v="0"/>
    <s v="Heinz Tomato Ketchup"/>
    <x v="43"/>
    <x v="0"/>
    <x v="47"/>
    <s v="Q1"/>
  </r>
  <r>
    <x v="1"/>
    <s v="Banquet Chicken"/>
    <x v="44"/>
    <x v="2"/>
    <x v="48"/>
    <s v="Q3"/>
  </r>
  <r>
    <x v="3"/>
    <s v="Budweiser"/>
    <x v="45"/>
    <x v="2"/>
    <x v="49"/>
    <s v="Q1"/>
  </r>
  <r>
    <x v="6"/>
    <s v="Fish n Feed"/>
    <x v="46"/>
    <x v="0"/>
    <x v="50"/>
    <s v="Q3"/>
  </r>
  <r>
    <x v="2"/>
    <s v="Choco Crunch"/>
    <x v="47"/>
    <x v="9"/>
    <x v="51"/>
    <s v="Q4"/>
  </r>
  <r>
    <x v="7"/>
    <s v="Country Dale Milk"/>
    <x v="48"/>
    <x v="9"/>
    <x v="52"/>
    <s v="Q4"/>
  </r>
  <r>
    <x v="6"/>
    <s v="Something Fishy"/>
    <x v="49"/>
    <x v="7"/>
    <x v="53"/>
    <s v="Q1"/>
  </r>
  <r>
    <x v="3"/>
    <s v="Richards Wild Irish Rose"/>
    <x v="50"/>
    <x v="5"/>
    <x v="54"/>
    <s v="Q1"/>
  </r>
  <r>
    <x v="2"/>
    <s v="Buzz Blasts"/>
    <x v="51"/>
    <x v="5"/>
    <x v="55"/>
    <s v="Q2"/>
  </r>
  <r>
    <x v="6"/>
    <s v="Something Fishy"/>
    <x v="52"/>
    <x v="7"/>
    <x v="56"/>
    <s v="Q3"/>
  </r>
  <r>
    <x v="1"/>
    <s v="Empire Kosher Poultry"/>
    <x v="53"/>
    <x v="6"/>
    <x v="57"/>
    <s v="Q4"/>
  </r>
  <r>
    <x v="3"/>
    <s v="Richards Wild Irish Rose"/>
    <x v="54"/>
    <x v="6"/>
    <x v="58"/>
    <s v="Q4"/>
  </r>
  <r>
    <x v="0"/>
    <s v="Maull's barbecue sauce"/>
    <x v="55"/>
    <x v="4"/>
    <x v="59"/>
    <s v="Q2"/>
  </r>
  <r>
    <x v="1"/>
    <s v="Pilgrims Pride"/>
    <x v="56"/>
    <x v="1"/>
    <x v="60"/>
    <s v="Q1"/>
  </r>
  <r>
    <x v="3"/>
    <s v="Budweiser"/>
    <x v="57"/>
    <x v="8"/>
    <x v="61"/>
    <s v="Q3"/>
  </r>
  <r>
    <x v="1"/>
    <s v="Gold n' Plump"/>
    <x v="58"/>
    <x v="9"/>
    <x v="62"/>
    <s v="Q4"/>
  </r>
  <r>
    <x v="3"/>
    <s v="Ferrari Spumante"/>
    <x v="59"/>
    <x v="9"/>
    <x v="63"/>
    <s v="Q4"/>
  </r>
  <r>
    <x v="0"/>
    <s v="Homepride"/>
    <x v="60"/>
    <x v="4"/>
    <x v="64"/>
    <s v="Q2"/>
  </r>
  <r>
    <x v="2"/>
    <s v="Honey Bunches"/>
    <x v="61"/>
    <x v="1"/>
    <x v="65"/>
    <s v="Q2"/>
  </r>
  <r>
    <x v="4"/>
    <s v="Milo"/>
    <x v="61"/>
    <x v="5"/>
    <x v="66"/>
    <s v="Q3"/>
  </r>
  <r>
    <x v="2"/>
    <s v="Go Lean Cereal (Crunch)"/>
    <x v="62"/>
    <x v="1"/>
    <x v="67"/>
    <s v="Q1"/>
  </r>
  <r>
    <x v="2"/>
    <s v="Bart's Peanut Butter Chocolate Crunch"/>
    <x v="63"/>
    <x v="9"/>
    <x v="68"/>
    <s v="Q3"/>
  </r>
  <r>
    <x v="2"/>
    <s v="Bart's Peanut Butter Chocolate Crunch"/>
    <x v="64"/>
    <x v="8"/>
    <x v="69"/>
    <s v="Q1"/>
  </r>
  <r>
    <x v="5"/>
    <s v="Fantails"/>
    <x v="65"/>
    <x v="7"/>
    <x v="70"/>
    <s v="Q4"/>
  </r>
  <r>
    <x v="3"/>
    <s v="Kentucky Common Beer"/>
    <x v="66"/>
    <x v="2"/>
    <x v="71"/>
    <s v="Q2"/>
  </r>
  <r>
    <x v="4"/>
    <s v="Bovril"/>
    <x v="67"/>
    <x v="7"/>
    <x v="72"/>
    <s v="Q1"/>
  </r>
  <r>
    <x v="6"/>
    <s v="Jack's Shrimp"/>
    <x v="67"/>
    <x v="9"/>
    <x v="73"/>
    <s v="Q2"/>
  </r>
  <r>
    <x v="2"/>
    <s v="Granola"/>
    <x v="68"/>
    <x v="0"/>
    <x v="74"/>
    <s v="Q3"/>
  </r>
  <r>
    <x v="3"/>
    <s v="Budweiser"/>
    <x v="69"/>
    <x v="3"/>
    <x v="75"/>
    <s v="Q2"/>
  </r>
  <r>
    <x v="1"/>
    <s v="Empire Kosher Poultry"/>
    <x v="69"/>
    <x v="1"/>
    <x v="76"/>
    <s v="Q3"/>
  </r>
  <r>
    <x v="4"/>
    <s v="Gold Spot"/>
    <x v="70"/>
    <x v="4"/>
    <x v="77"/>
    <s v="Q4"/>
  </r>
  <r>
    <x v="7"/>
    <s v="Gale's Curd"/>
    <x v="71"/>
    <x v="1"/>
    <x v="78"/>
    <s v="Q1"/>
  </r>
  <r>
    <x v="6"/>
    <s v="Fish n Feed"/>
    <x v="71"/>
    <x v="5"/>
    <x v="79"/>
    <s v="Q2"/>
  </r>
  <r>
    <x v="4"/>
    <s v="Horlicks"/>
    <x v="72"/>
    <x v="4"/>
    <x v="80"/>
    <s v="Q1"/>
  </r>
  <r>
    <x v="2"/>
    <s v="Go Lean Cereal (Crunch)"/>
    <x v="73"/>
    <x v="0"/>
    <x v="81"/>
    <s v="Q3"/>
  </r>
  <r>
    <x v="4"/>
    <s v="Benco Instant Choco Drink"/>
    <x v="74"/>
    <x v="8"/>
    <x v="82"/>
    <s v="Q2"/>
  </r>
  <r>
    <x v="0"/>
    <s v="Heinz Tomato Ketchup"/>
    <x v="74"/>
    <x v="2"/>
    <x v="83"/>
    <s v="Q3"/>
  </r>
  <r>
    <x v="5"/>
    <s v="Fizz-wiz"/>
    <x v="75"/>
    <x v="0"/>
    <x v="84"/>
    <s v="Q4"/>
  </r>
  <r>
    <x v="4"/>
    <s v="PJ's Smoothies"/>
    <x v="76"/>
    <x v="0"/>
    <x v="85"/>
    <s v="Q4"/>
  </r>
  <r>
    <x v="5"/>
    <s v="McCowans"/>
    <x v="77"/>
    <x v="6"/>
    <x v="86"/>
    <s v="Q4"/>
  </r>
  <r>
    <x v="2"/>
    <s v="Go Lean Cereal (Crunch)"/>
    <x v="78"/>
    <x v="4"/>
    <x v="87"/>
    <s v="Q1"/>
  </r>
  <r>
    <x v="7"/>
    <s v="Chivers"/>
    <x v="79"/>
    <x v="9"/>
    <x v="37"/>
    <s v="Q1"/>
  </r>
  <r>
    <x v="1"/>
    <s v="Barbers Eggs"/>
    <x v="79"/>
    <x v="6"/>
    <x v="88"/>
    <s v="Q4"/>
  </r>
  <r>
    <x v="2"/>
    <s v="Sultana Bran"/>
    <x v="80"/>
    <x v="8"/>
    <x v="89"/>
    <s v="Q3"/>
  </r>
  <r>
    <x v="3"/>
    <s v="Carlsberg"/>
    <x v="81"/>
    <x v="5"/>
    <x v="11"/>
    <s v="Q2"/>
  </r>
  <r>
    <x v="7"/>
    <s v="Gale's Curd"/>
    <x v="82"/>
    <x v="5"/>
    <x v="90"/>
    <s v="Q2"/>
  </r>
  <r>
    <x v="0"/>
    <s v="Mang Tomas"/>
    <x v="83"/>
    <x v="8"/>
    <x v="91"/>
    <s v="Q3"/>
  </r>
  <r>
    <x v="2"/>
    <s v="Bart's Peanut Butter Chocolate Crunch"/>
    <x v="84"/>
    <x v="5"/>
    <x v="92"/>
    <s v="Q4"/>
  </r>
  <r>
    <x v="2"/>
    <s v="Sultana Bran"/>
    <x v="84"/>
    <x v="1"/>
    <x v="93"/>
    <s v="Q4"/>
  </r>
  <r>
    <x v="4"/>
    <s v="Horlicks"/>
    <x v="85"/>
    <x v="4"/>
    <x v="41"/>
    <s v="Q1"/>
  </r>
  <r>
    <x v="6"/>
    <s v="Jack's Shrimp"/>
    <x v="85"/>
    <x v="5"/>
    <x v="94"/>
    <s v="Q1"/>
  </r>
  <r>
    <x v="4"/>
    <s v="Bovril"/>
    <x v="86"/>
    <x v="2"/>
    <x v="14"/>
    <s v="Q1"/>
  </r>
  <r>
    <x v="0"/>
    <s v="Homepride"/>
    <x v="86"/>
    <x v="9"/>
    <x v="95"/>
    <s v="Q3"/>
  </r>
  <r>
    <x v="7"/>
    <s v="Gale's Curd"/>
    <x v="87"/>
    <x v="2"/>
    <x v="96"/>
    <s v="Q1"/>
  </r>
  <r>
    <x v="4"/>
    <s v="Lipton Brisk"/>
    <x v="88"/>
    <x v="3"/>
    <x v="97"/>
    <s v="Q2"/>
  </r>
  <r>
    <x v="2"/>
    <s v="Grape Nut Flakes"/>
    <x v="89"/>
    <x v="2"/>
    <x v="98"/>
    <s v="Q2"/>
  </r>
  <r>
    <x v="5"/>
    <s v="Freddo"/>
    <x v="90"/>
    <x v="1"/>
    <x v="99"/>
    <s v="Q4"/>
  </r>
  <r>
    <x v="5"/>
    <s v="Wrigley's Chewing Gum"/>
    <x v="91"/>
    <x v="3"/>
    <x v="16"/>
    <s v="Q2"/>
  </r>
  <r>
    <x v="2"/>
    <s v="Granola"/>
    <x v="92"/>
    <x v="2"/>
    <x v="69"/>
    <s v="Q1"/>
  </r>
  <r>
    <x v="6"/>
    <s v="Fish n Feed"/>
    <x v="93"/>
    <x v="4"/>
    <x v="100"/>
    <s v="Q2"/>
  </r>
  <r>
    <x v="2"/>
    <s v="Yog-Active"/>
    <x v="93"/>
    <x v="1"/>
    <x v="101"/>
    <s v="Q4"/>
  </r>
  <r>
    <x v="2"/>
    <s v="Reese's Puffs"/>
    <x v="94"/>
    <x v="3"/>
    <x v="102"/>
    <s v="Q3"/>
  </r>
  <r>
    <x v="0"/>
    <s v="Maull's barbecue sauce"/>
    <x v="95"/>
    <x v="1"/>
    <x v="103"/>
    <s v="Q1"/>
  </r>
  <r>
    <x v="2"/>
    <s v="Chocolate Oat Crunch Life"/>
    <x v="96"/>
    <x v="8"/>
    <x v="104"/>
    <s v="Q1"/>
  </r>
  <r>
    <x v="1"/>
    <s v="Empire Kosher Poultry"/>
    <x v="97"/>
    <x v="8"/>
    <x v="105"/>
    <s v="Q2"/>
  </r>
  <r>
    <x v="2"/>
    <s v="Reese's Puffs"/>
    <x v="98"/>
    <x v="0"/>
    <x v="72"/>
    <s v="Q1"/>
  </r>
  <r>
    <x v="0"/>
    <s v="Plochman's"/>
    <x v="99"/>
    <x v="1"/>
    <x v="106"/>
    <s v="Q3"/>
  </r>
  <r>
    <x v="2"/>
    <s v="Reese's Puffs"/>
    <x v="100"/>
    <x v="1"/>
    <x v="107"/>
    <s v="Q4"/>
  </r>
  <r>
    <x v="3"/>
    <s v="Heiniken"/>
    <x v="101"/>
    <x v="5"/>
    <x v="108"/>
    <s v="Q1"/>
  </r>
  <r>
    <x v="2"/>
    <s v="Honey Bunches"/>
    <x v="102"/>
    <x v="6"/>
    <x v="109"/>
    <s v="Q3"/>
  </r>
  <r>
    <x v="4"/>
    <s v="Cravendale"/>
    <x v="103"/>
    <x v="2"/>
    <x v="110"/>
    <s v="Q4"/>
  </r>
  <r>
    <x v="4"/>
    <s v="Horlicks"/>
    <x v="104"/>
    <x v="7"/>
    <x v="111"/>
    <s v="Q4"/>
  </r>
  <r>
    <x v="5"/>
    <s v="Gooey Logs"/>
    <x v="105"/>
    <x v="6"/>
    <x v="112"/>
    <s v="Q1"/>
  </r>
  <r>
    <x v="5"/>
    <s v="Freddo"/>
    <x v="106"/>
    <x v="1"/>
    <x v="113"/>
    <s v="Q1"/>
  </r>
  <r>
    <x v="2"/>
    <s v="Go Lean Cereal (Crunch)"/>
    <x v="106"/>
    <x v="9"/>
    <x v="114"/>
    <s v="Q2"/>
  </r>
  <r>
    <x v="4"/>
    <s v="PDQ Chocolate"/>
    <x v="107"/>
    <x v="7"/>
    <x v="115"/>
    <s v="Q2"/>
  </r>
  <r>
    <x v="1"/>
    <s v="Barbers Eggs"/>
    <x v="108"/>
    <x v="0"/>
    <x v="116"/>
    <s v="Q3"/>
  </r>
  <r>
    <x v="7"/>
    <s v="Gale's Curd"/>
    <x v="109"/>
    <x v="4"/>
    <x v="117"/>
    <s v="Q1"/>
  </r>
  <r>
    <x v="2"/>
    <s v="Honey Bunches"/>
    <x v="110"/>
    <x v="5"/>
    <x v="10"/>
    <s v="Q3"/>
  </r>
  <r>
    <x v="0"/>
    <s v="French's"/>
    <x v="111"/>
    <x v="6"/>
    <x v="118"/>
    <s v="Q4"/>
  </r>
  <r>
    <x v="3"/>
    <s v="Ecco Domani"/>
    <x v="112"/>
    <x v="6"/>
    <x v="119"/>
    <s v="Q3"/>
  </r>
  <r>
    <x v="4"/>
    <s v="Cravendale"/>
    <x v="113"/>
    <x v="4"/>
    <x v="120"/>
    <s v="Q2"/>
  </r>
  <r>
    <x v="2"/>
    <s v="Puff"/>
    <x v="113"/>
    <x v="7"/>
    <x v="121"/>
    <s v="Q2"/>
  </r>
  <r>
    <x v="6"/>
    <s v="Chicken of the Sea"/>
    <x v="114"/>
    <x v="5"/>
    <x v="122"/>
    <s v="Q1"/>
  </r>
  <r>
    <x v="1"/>
    <s v="Empire Kosher Poultry"/>
    <x v="115"/>
    <x v="9"/>
    <x v="123"/>
    <s v="Q1"/>
  </r>
  <r>
    <x v="1"/>
    <s v="Pot Pie"/>
    <x v="116"/>
    <x v="7"/>
    <x v="124"/>
    <s v="Q2"/>
  </r>
  <r>
    <x v="5"/>
    <s v="Nestle Double Berry"/>
    <x v="117"/>
    <x v="2"/>
    <x v="125"/>
    <s v="Q2"/>
  </r>
  <r>
    <x v="1"/>
    <s v="Pepperoni Pit"/>
    <x v="118"/>
    <x v="8"/>
    <x v="126"/>
    <s v="Q2"/>
  </r>
  <r>
    <x v="5"/>
    <s v="Wrigley's Chewing Gum"/>
    <x v="119"/>
    <x v="0"/>
    <x v="17"/>
    <s v="Q1"/>
  </r>
  <r>
    <x v="1"/>
    <s v="Pot Pie"/>
    <x v="120"/>
    <x v="9"/>
    <x v="127"/>
    <s v="Q3"/>
  </r>
  <r>
    <x v="0"/>
    <s v="Aromat"/>
    <x v="121"/>
    <x v="9"/>
    <x v="128"/>
    <s v="Q1"/>
  </r>
  <r>
    <x v="1"/>
    <s v="Barbers Eggs"/>
    <x v="122"/>
    <x v="1"/>
    <x v="129"/>
    <s v="Q2"/>
  </r>
  <r>
    <x v="7"/>
    <s v="Rose's Marmalade"/>
    <x v="123"/>
    <x v="6"/>
    <x v="130"/>
    <s v="Q2"/>
  </r>
  <r>
    <x v="5"/>
    <s v="Mintolas"/>
    <x v="124"/>
    <x v="9"/>
    <x v="131"/>
    <s v="Q2"/>
  </r>
  <r>
    <x v="3"/>
    <s v="Carlsberg"/>
    <x v="125"/>
    <x v="0"/>
    <x v="132"/>
    <s v="Q4"/>
  </r>
  <r>
    <x v="5"/>
    <s v="Nestle Double Berry"/>
    <x v="126"/>
    <x v="8"/>
    <x v="133"/>
    <s v="Q2"/>
  </r>
  <r>
    <x v="1"/>
    <s v="Shelton Poultry Produce"/>
    <x v="126"/>
    <x v="7"/>
    <x v="134"/>
    <s v="Q3"/>
  </r>
  <r>
    <x v="4"/>
    <s v="Nutrimato"/>
    <x v="127"/>
    <x v="2"/>
    <x v="135"/>
    <s v="Q3"/>
  </r>
  <r>
    <x v="1"/>
    <s v="Toledano Wings"/>
    <x v="128"/>
    <x v="8"/>
    <x v="136"/>
    <s v="Q1"/>
  </r>
  <r>
    <x v="4"/>
    <s v="Barleycup"/>
    <x v="129"/>
    <x v="5"/>
    <x v="137"/>
    <s v="Q1"/>
  </r>
  <r>
    <x v="2"/>
    <s v="Choco Crunch"/>
    <x v="130"/>
    <x v="8"/>
    <x v="42"/>
    <s v="Q1"/>
  </r>
  <r>
    <x v="3"/>
    <s v="Kentucky Common Beer"/>
    <x v="130"/>
    <x v="8"/>
    <x v="138"/>
    <s v="Q3"/>
  </r>
  <r>
    <x v="0"/>
    <s v="Homepride"/>
    <x v="131"/>
    <x v="1"/>
    <x v="139"/>
    <s v="Q2"/>
  </r>
  <r>
    <x v="5"/>
    <s v="Fizz-wiz"/>
    <x v="131"/>
    <x v="1"/>
    <x v="140"/>
    <s v="Q2"/>
  </r>
  <r>
    <x v="4"/>
    <s v="PDQ Chocolate"/>
    <x v="132"/>
    <x v="5"/>
    <x v="141"/>
    <s v="Q1"/>
  </r>
  <r>
    <x v="4"/>
    <s v="Sjora"/>
    <x v="133"/>
    <x v="3"/>
    <x v="142"/>
    <s v="Q4"/>
  </r>
  <r>
    <x v="4"/>
    <s v="Benco Instant Choco Drink"/>
    <x v="134"/>
    <x v="6"/>
    <x v="143"/>
    <s v="Q1"/>
  </r>
  <r>
    <x v="4"/>
    <s v="Benco Instant Choco Drink"/>
    <x v="134"/>
    <x v="1"/>
    <x v="144"/>
    <s v="Q3"/>
  </r>
  <r>
    <x v="4"/>
    <s v="Gold Spot"/>
    <x v="134"/>
    <x v="9"/>
    <x v="57"/>
    <s v="Q4"/>
  </r>
  <r>
    <x v="3"/>
    <s v="Ferrari Spumante"/>
    <x v="135"/>
    <x v="7"/>
    <x v="69"/>
    <s v="Q1"/>
  </r>
  <r>
    <x v="5"/>
    <s v="Double Dip Sherbet"/>
    <x v="136"/>
    <x v="2"/>
    <x v="145"/>
    <s v="Q2"/>
  </r>
  <r>
    <x v="1"/>
    <s v="Zacky Chicken"/>
    <x v="137"/>
    <x v="5"/>
    <x v="146"/>
    <s v="Q3"/>
  </r>
  <r>
    <x v="4"/>
    <s v="Horlicks"/>
    <x v="138"/>
    <x v="4"/>
    <x v="66"/>
    <s v="Q3"/>
  </r>
  <r>
    <x v="4"/>
    <s v="Milo"/>
    <x v="139"/>
    <x v="8"/>
    <x v="147"/>
    <s v="Q3"/>
  </r>
  <r>
    <x v="7"/>
    <s v="Rose's Marmalade"/>
    <x v="140"/>
    <x v="3"/>
    <x v="20"/>
    <s v="Q4"/>
  </r>
  <r>
    <x v="2"/>
    <s v="Puff"/>
    <x v="141"/>
    <x v="7"/>
    <x v="148"/>
    <s v="Q2"/>
  </r>
  <r>
    <x v="6"/>
    <s v="Fish n Feed"/>
    <x v="141"/>
    <x v="1"/>
    <x v="149"/>
    <s v="Q2"/>
  </r>
  <r>
    <x v="0"/>
    <s v="Maull's barbecue sauce"/>
    <x v="142"/>
    <x v="1"/>
    <x v="150"/>
    <s v="Q2"/>
  </r>
  <r>
    <x v="3"/>
    <s v="Carlsberg"/>
    <x v="143"/>
    <x v="3"/>
    <x v="151"/>
    <s v="Q1"/>
  </r>
  <r>
    <x v="7"/>
    <s v="Chivers"/>
    <x v="143"/>
    <x v="6"/>
    <x v="130"/>
    <s v="Q2"/>
  </r>
  <r>
    <x v="2"/>
    <s v="Go Lean Cereal (Crunch)"/>
    <x v="144"/>
    <x v="4"/>
    <x v="152"/>
    <s v="Q4"/>
  </r>
  <r>
    <x v="2"/>
    <s v="Granola"/>
    <x v="145"/>
    <x v="4"/>
    <x v="78"/>
    <s v="Q1"/>
  </r>
  <r>
    <x v="5"/>
    <s v="Fantails"/>
    <x v="145"/>
    <x v="6"/>
    <x v="153"/>
    <s v="Q2"/>
  </r>
  <r>
    <x v="2"/>
    <s v="Choco Crunch"/>
    <x v="146"/>
    <x v="3"/>
    <x v="154"/>
    <s v="Q2"/>
  </r>
  <r>
    <x v="5"/>
    <s v="Lockets"/>
    <x v="147"/>
    <x v="7"/>
    <x v="118"/>
    <s v="Q4"/>
  </r>
  <r>
    <x v="5"/>
    <s v="Fantails"/>
    <x v="148"/>
    <x v="3"/>
    <x v="102"/>
    <s v="Q3"/>
  </r>
  <r>
    <x v="2"/>
    <s v="Grape Nut Flakes"/>
    <x v="149"/>
    <x v="5"/>
    <x v="155"/>
    <s v="Q1"/>
  </r>
  <r>
    <x v="0"/>
    <s v="Maull's barbecue sauce"/>
    <x v="150"/>
    <x v="8"/>
    <x v="156"/>
    <s v="Q2"/>
  </r>
  <r>
    <x v="0"/>
    <s v="Aromat"/>
    <x v="151"/>
    <x v="7"/>
    <x v="157"/>
    <s v="Q2"/>
  </r>
  <r>
    <x v="4"/>
    <s v="Horlicks"/>
    <x v="152"/>
    <x v="6"/>
    <x v="158"/>
    <s v="Q2"/>
  </r>
  <r>
    <x v="6"/>
    <s v="Chicken of the Sea"/>
    <x v="153"/>
    <x v="8"/>
    <x v="116"/>
    <s v="Q3"/>
  </r>
  <r>
    <x v="0"/>
    <s v="Plochman's"/>
    <x v="154"/>
    <x v="2"/>
    <x v="159"/>
    <s v="Q3"/>
  </r>
  <r>
    <x v="4"/>
    <s v="Nutrimato"/>
    <x v="155"/>
    <x v="2"/>
    <x v="160"/>
    <s v="Q1"/>
  </r>
  <r>
    <x v="2"/>
    <s v="Bart's Peanut Butter Chocolate Crunch"/>
    <x v="156"/>
    <x v="5"/>
    <x v="161"/>
    <s v="Q2"/>
  </r>
  <r>
    <x v="1"/>
    <s v="Gold n' Plump"/>
    <x v="157"/>
    <x v="2"/>
    <x v="162"/>
    <s v="Q4"/>
  </r>
  <r>
    <x v="0"/>
    <s v="Homepride"/>
    <x v="158"/>
    <x v="4"/>
    <x v="79"/>
    <s v="Q2"/>
  </r>
  <r>
    <x v="7"/>
    <s v="Hartley's Jam"/>
    <x v="159"/>
    <x v="1"/>
    <x v="84"/>
    <s v="Q4"/>
  </r>
  <r>
    <x v="1"/>
    <s v="Banquet Chicken"/>
    <x v="160"/>
    <x v="4"/>
    <x v="163"/>
    <s v="Q3"/>
  </r>
  <r>
    <x v="3"/>
    <s v="Richards Wild Irish Rose"/>
    <x v="161"/>
    <x v="4"/>
    <x v="164"/>
    <s v="Q3"/>
  </r>
  <r>
    <x v="3"/>
    <s v="Carlsberg"/>
    <x v="162"/>
    <x v="5"/>
    <x v="165"/>
    <s v="Q1"/>
  </r>
  <r>
    <x v="7"/>
    <s v="Rose's Marmalade"/>
    <x v="163"/>
    <x v="8"/>
    <x v="166"/>
    <s v="Q3"/>
  </r>
  <r>
    <x v="5"/>
    <s v="Bassett's Sour Squirms"/>
    <x v="164"/>
    <x v="6"/>
    <x v="167"/>
    <s v="Q1"/>
  </r>
  <r>
    <x v="2"/>
    <s v="Reese's Puffs"/>
    <x v="165"/>
    <x v="0"/>
    <x v="168"/>
    <s v="Q3"/>
  </r>
  <r>
    <x v="4"/>
    <s v="Barleycup"/>
    <x v="166"/>
    <x v="8"/>
    <x v="169"/>
    <s v="Q3"/>
  </r>
  <r>
    <x v="4"/>
    <s v="Barleycup"/>
    <x v="167"/>
    <x v="2"/>
    <x v="170"/>
    <s v="Q3"/>
  </r>
  <r>
    <x v="0"/>
    <s v="Maull's barbecue sauce"/>
    <x v="168"/>
    <x v="3"/>
    <x v="171"/>
    <s v="Q1"/>
  </r>
  <r>
    <x v="3"/>
    <s v="Corona"/>
    <x v="169"/>
    <x v="0"/>
    <x v="172"/>
    <s v="Q1"/>
  </r>
  <r>
    <x v="5"/>
    <s v="McCowans"/>
    <x v="169"/>
    <x v="4"/>
    <x v="173"/>
    <s v="Q2"/>
  </r>
  <r>
    <x v="5"/>
    <s v="Double Dip Sherbet"/>
    <x v="169"/>
    <x v="6"/>
    <x v="174"/>
    <s v="Q4"/>
  </r>
  <r>
    <x v="3"/>
    <s v="Carlsberg"/>
    <x v="170"/>
    <x v="7"/>
    <x v="175"/>
    <s v="Q3"/>
  </r>
  <r>
    <x v="5"/>
    <s v="Wrigley's Chewing Gum"/>
    <x v="171"/>
    <x v="2"/>
    <x v="176"/>
    <s v="Q2"/>
  </r>
  <r>
    <x v="5"/>
    <s v="Double Dip Sherbet"/>
    <x v="172"/>
    <x v="1"/>
    <x v="177"/>
    <s v="Q2"/>
  </r>
  <r>
    <x v="3"/>
    <s v="Ferrari Spumante"/>
    <x v="173"/>
    <x v="3"/>
    <x v="178"/>
    <s v="Q2"/>
  </r>
  <r>
    <x v="7"/>
    <s v="Sun-Pat Peanut Butter"/>
    <x v="174"/>
    <x v="1"/>
    <x v="179"/>
    <s v="Q4"/>
  </r>
  <r>
    <x v="3"/>
    <s v="Corona"/>
    <x v="175"/>
    <x v="5"/>
    <x v="180"/>
    <s v="Q2"/>
  </r>
  <r>
    <x v="2"/>
    <s v="Rice Krispies"/>
    <x v="175"/>
    <x v="7"/>
    <x v="181"/>
    <s v="Q4"/>
  </r>
  <r>
    <x v="0"/>
    <s v="Heinz Tomato Ketchup"/>
    <x v="176"/>
    <x v="5"/>
    <x v="182"/>
    <s v="Q2"/>
  </r>
  <r>
    <x v="0"/>
    <s v="Mang Tomas"/>
    <x v="177"/>
    <x v="5"/>
    <x v="183"/>
    <s v="Q4"/>
  </r>
  <r>
    <x v="0"/>
    <s v="Mang Tomas"/>
    <x v="178"/>
    <x v="6"/>
    <x v="184"/>
    <s v="Q4"/>
  </r>
  <r>
    <x v="2"/>
    <s v="Yog-Active"/>
    <x v="179"/>
    <x v="5"/>
    <x v="185"/>
    <s v="Q2"/>
  </r>
  <r>
    <x v="2"/>
    <s v="Bart's Peanut Butter Chocolate Crunch"/>
    <x v="179"/>
    <x v="7"/>
    <x v="164"/>
    <s v="Q3"/>
  </r>
  <r>
    <x v="4"/>
    <s v="Barleycup"/>
    <x v="180"/>
    <x v="6"/>
    <x v="74"/>
    <s v="Q3"/>
  </r>
  <r>
    <x v="7"/>
    <s v="Sun-Pat Peanut Butter"/>
    <x v="181"/>
    <x v="4"/>
    <x v="104"/>
    <s v="Q1"/>
  </r>
  <r>
    <x v="1"/>
    <s v="Pilgrims Pride"/>
    <x v="182"/>
    <x v="6"/>
    <x v="129"/>
    <s v="Q2"/>
  </r>
  <r>
    <x v="2"/>
    <s v="Yog-Active"/>
    <x v="183"/>
    <x v="6"/>
    <x v="186"/>
    <s v="Q3"/>
  </r>
  <r>
    <x v="6"/>
    <s v="Something Fishy"/>
    <x v="184"/>
    <x v="0"/>
    <x v="187"/>
    <s v="Q3"/>
  </r>
  <r>
    <x v="2"/>
    <s v="Reese's Puffs"/>
    <x v="185"/>
    <x v="4"/>
    <x v="188"/>
    <s v="Q3"/>
  </r>
  <r>
    <x v="6"/>
    <s v="Something Fishy"/>
    <x v="186"/>
    <x v="3"/>
    <x v="189"/>
    <s v="Q2"/>
  </r>
  <r>
    <x v="0"/>
    <s v="French's"/>
    <x v="187"/>
    <x v="8"/>
    <x v="190"/>
    <s v="Q3"/>
  </r>
  <r>
    <x v="2"/>
    <s v="Rice Krispies"/>
    <x v="188"/>
    <x v="8"/>
    <x v="191"/>
    <s v="Q1"/>
  </r>
  <r>
    <x v="3"/>
    <s v="Kentucky Common Beer"/>
    <x v="189"/>
    <x v="1"/>
    <x v="192"/>
    <s v="Q1"/>
  </r>
  <r>
    <x v="4"/>
    <s v="Ovaltine"/>
    <x v="190"/>
    <x v="2"/>
    <x v="193"/>
    <s v="Q2"/>
  </r>
  <r>
    <x v="2"/>
    <s v="Buzz Blasts"/>
    <x v="191"/>
    <x v="1"/>
    <x v="115"/>
    <s v="Q2"/>
  </r>
  <r>
    <x v="5"/>
    <s v="Bassett's Sour Squirms"/>
    <x v="192"/>
    <x v="6"/>
    <x v="194"/>
    <s v="Q4"/>
  </r>
  <r>
    <x v="0"/>
    <s v="Maull's barbecue sauce"/>
    <x v="193"/>
    <x v="9"/>
    <x v="195"/>
    <s v="Q2"/>
  </r>
  <r>
    <x v="1"/>
    <s v="Shelton Poultry Produce"/>
    <x v="194"/>
    <x v="5"/>
    <x v="75"/>
    <s v="Q2"/>
  </r>
  <r>
    <x v="2"/>
    <s v="Yog-Active"/>
    <x v="195"/>
    <x v="2"/>
    <x v="196"/>
    <s v="Q4"/>
  </r>
  <r>
    <x v="3"/>
    <s v="Carlsberg"/>
    <x v="196"/>
    <x v="3"/>
    <x v="197"/>
    <s v="Q3"/>
  </r>
  <r>
    <x v="2"/>
    <s v="Chocolate Oat Crunch Life"/>
    <x v="196"/>
    <x v="9"/>
    <x v="198"/>
    <s v="Q4"/>
  </r>
  <r>
    <x v="4"/>
    <s v="Ovaltine"/>
    <x v="197"/>
    <x v="6"/>
    <x v="92"/>
    <s v="Q4"/>
  </r>
  <r>
    <x v="0"/>
    <s v="Heinz Tomato Ketchup"/>
    <x v="198"/>
    <x v="0"/>
    <x v="199"/>
    <s v="Q2"/>
  </r>
  <r>
    <x v="3"/>
    <s v="Tavernello"/>
    <x v="199"/>
    <x v="5"/>
    <x v="72"/>
    <s v="Q1"/>
  </r>
  <r>
    <x v="5"/>
    <s v="Bassett's Sour Squirms"/>
    <x v="200"/>
    <x v="3"/>
    <x v="200"/>
    <s v="Q4"/>
  </r>
  <r>
    <x v="5"/>
    <s v="Wrigley's Chewing Gum"/>
    <x v="201"/>
    <x v="6"/>
    <x v="201"/>
    <s v="Q2"/>
  </r>
  <r>
    <x v="4"/>
    <s v="Gold Spot"/>
    <x v="202"/>
    <x v="8"/>
    <x v="202"/>
    <s v="Q3"/>
  </r>
  <r>
    <x v="4"/>
    <s v="Gold Spot"/>
    <x v="203"/>
    <x v="3"/>
    <x v="111"/>
    <s v="Q4"/>
  </r>
  <r>
    <x v="7"/>
    <s v="Country Dale Milk"/>
    <x v="204"/>
    <x v="1"/>
    <x v="203"/>
    <s v="Q3"/>
  </r>
  <r>
    <x v="2"/>
    <s v="Choco Crunch"/>
    <x v="205"/>
    <x v="2"/>
    <x v="204"/>
    <s v="Q3"/>
  </r>
  <r>
    <x v="3"/>
    <s v="Heiniken"/>
    <x v="206"/>
    <x v="7"/>
    <x v="205"/>
    <s v="Q4"/>
  </r>
  <r>
    <x v="7"/>
    <s v="Sun-Pat Peanut Butter"/>
    <x v="207"/>
    <x v="1"/>
    <x v="206"/>
    <s v="Q1"/>
  </r>
  <r>
    <x v="3"/>
    <s v="Ferrari Spumante"/>
    <x v="207"/>
    <x v="9"/>
    <x v="207"/>
    <s v="Q4"/>
  </r>
  <r>
    <x v="5"/>
    <s v="Double Dip Sherbet"/>
    <x v="208"/>
    <x v="7"/>
    <x v="208"/>
    <s v="Q2"/>
  </r>
  <r>
    <x v="3"/>
    <s v="Ferrari Spumante"/>
    <x v="209"/>
    <x v="6"/>
    <x v="209"/>
    <s v="Q1"/>
  </r>
  <r>
    <x v="0"/>
    <s v="Gentleman's Relish"/>
    <x v="210"/>
    <x v="5"/>
    <x v="210"/>
    <s v="Q3"/>
  </r>
  <r>
    <x v="4"/>
    <s v="Benco Instant Choco Drink"/>
    <x v="211"/>
    <x v="7"/>
    <x v="113"/>
    <s v="Q1"/>
  </r>
  <r>
    <x v="0"/>
    <s v="French's"/>
    <x v="212"/>
    <x v="9"/>
    <x v="186"/>
    <s v="Q3"/>
  </r>
  <r>
    <x v="4"/>
    <s v="Nutrimato"/>
    <x v="213"/>
    <x v="8"/>
    <x v="162"/>
    <s v="Q4"/>
  </r>
  <r>
    <x v="2"/>
    <s v="Puff"/>
    <x v="214"/>
    <x v="6"/>
    <x v="29"/>
    <s v="Q4"/>
  </r>
  <r>
    <x v="6"/>
    <s v="Lobsters by the Bay"/>
    <x v="215"/>
    <x v="8"/>
    <x v="211"/>
    <s v="Q1"/>
  </r>
  <r>
    <x v="1"/>
    <s v="Barbers Eggs"/>
    <x v="216"/>
    <x v="3"/>
    <x v="130"/>
    <s v="Q2"/>
  </r>
  <r>
    <x v="4"/>
    <s v="Barleycup"/>
    <x v="217"/>
    <x v="6"/>
    <x v="212"/>
    <s v="Q3"/>
  </r>
  <r>
    <x v="2"/>
    <s v="Sultana Bran"/>
    <x v="218"/>
    <x v="2"/>
    <x v="213"/>
    <s v="Q3"/>
  </r>
  <r>
    <x v="5"/>
    <s v="Freddo"/>
    <x v="219"/>
    <x v="8"/>
    <x v="130"/>
    <s v="Q2"/>
  </r>
  <r>
    <x v="4"/>
    <s v="Nutrimato"/>
    <x v="220"/>
    <x v="5"/>
    <x v="214"/>
    <s v="Q2"/>
  </r>
  <r>
    <x v="4"/>
    <s v="Bovril"/>
    <x v="221"/>
    <x v="2"/>
    <x v="215"/>
    <s v="Q1"/>
  </r>
  <r>
    <x v="2"/>
    <s v="Choco Crunch"/>
    <x v="222"/>
    <x v="2"/>
    <x v="216"/>
    <s v="Q1"/>
  </r>
  <r>
    <x v="4"/>
    <s v="Benco Instant Choco Drink"/>
    <x v="223"/>
    <x v="0"/>
    <x v="217"/>
    <s v="Q4"/>
  </r>
  <r>
    <x v="2"/>
    <s v="Reese's Puffs"/>
    <x v="224"/>
    <x v="3"/>
    <x v="207"/>
    <s v="Q4"/>
  </r>
  <r>
    <x v="5"/>
    <s v="Mintolas"/>
    <x v="225"/>
    <x v="5"/>
    <x v="144"/>
    <s v="Q3"/>
  </r>
  <r>
    <x v="2"/>
    <s v="Granola"/>
    <x v="226"/>
    <x v="2"/>
    <x v="218"/>
    <s v="Q3"/>
  </r>
  <r>
    <x v="3"/>
    <s v="Ecco Domani"/>
    <x v="227"/>
    <x v="4"/>
    <x v="219"/>
    <s v="Q3"/>
  </r>
  <r>
    <x v="0"/>
    <s v="Trappey's Hot Sauce"/>
    <x v="228"/>
    <x v="7"/>
    <x v="198"/>
    <s v="Q4"/>
  </r>
  <r>
    <x v="4"/>
    <s v="Milo"/>
    <x v="229"/>
    <x v="8"/>
    <x v="220"/>
    <s v="Q3"/>
  </r>
  <r>
    <x v="4"/>
    <s v="PJ's Smoothies"/>
    <x v="230"/>
    <x v="3"/>
    <x v="221"/>
    <s v="Q1"/>
  </r>
  <r>
    <x v="7"/>
    <s v="Country Dale Milk"/>
    <x v="231"/>
    <x v="0"/>
    <x v="222"/>
    <s v="Q2"/>
  </r>
  <r>
    <x v="1"/>
    <s v="Toledano Wings"/>
    <x v="232"/>
    <x v="7"/>
    <x v="92"/>
    <s v="Q4"/>
  </r>
  <r>
    <x v="5"/>
    <s v="Refreshers Gums"/>
    <x v="233"/>
    <x v="2"/>
    <x v="223"/>
    <s v="Q3"/>
  </r>
  <r>
    <x v="2"/>
    <s v="Go Lean Cereal (Crunch)"/>
    <x v="234"/>
    <x v="6"/>
    <x v="224"/>
    <s v="Q2"/>
  </r>
  <r>
    <x v="0"/>
    <s v="Gentleman's Relish"/>
    <x v="235"/>
    <x v="9"/>
    <x v="79"/>
    <s v="Q2"/>
  </r>
  <r>
    <x v="4"/>
    <s v="PDQ Chocolate"/>
    <x v="236"/>
    <x v="4"/>
    <x v="51"/>
    <s v="Q4"/>
  </r>
  <r>
    <x v="2"/>
    <s v="Puff"/>
    <x v="237"/>
    <x v="3"/>
    <x v="225"/>
    <s v="Q3"/>
  </r>
  <r>
    <x v="4"/>
    <s v="Lipton Brisk"/>
    <x v="238"/>
    <x v="8"/>
    <x v="222"/>
    <s v="Q2"/>
  </r>
  <r>
    <x v="3"/>
    <s v="Heiniken"/>
    <x v="239"/>
    <x v="3"/>
    <x v="226"/>
    <s v="Q3"/>
  </r>
  <r>
    <x v="3"/>
    <s v="Budweiser"/>
    <x v="240"/>
    <x v="3"/>
    <x v="227"/>
    <s v="Q3"/>
  </r>
  <r>
    <x v="6"/>
    <s v="Something Fishy"/>
    <x v="241"/>
    <x v="3"/>
    <x v="118"/>
    <s v="Q4"/>
  </r>
  <r>
    <x v="0"/>
    <s v="Heinz Tomato Ketchup"/>
    <x v="242"/>
    <x v="5"/>
    <x v="228"/>
    <s v="Q4"/>
  </r>
  <r>
    <x v="5"/>
    <s v="Mintolas"/>
    <x v="243"/>
    <x v="5"/>
    <x v="229"/>
    <s v="Q4"/>
  </r>
  <r>
    <x v="6"/>
    <s v="Lobsters by the Bay"/>
    <x v="244"/>
    <x v="4"/>
    <x v="2"/>
    <s v="Q1"/>
  </r>
  <r>
    <x v="1"/>
    <s v="Banquet Chicken"/>
    <x v="245"/>
    <x v="7"/>
    <x v="230"/>
    <s v="Q4"/>
  </r>
  <r>
    <x v="2"/>
    <s v="Go Lean Cereal (Crunch)"/>
    <x v="246"/>
    <x v="2"/>
    <x v="231"/>
    <s v="Q1"/>
  </r>
  <r>
    <x v="4"/>
    <s v="Sjora"/>
    <x v="247"/>
    <x v="3"/>
    <x v="232"/>
    <s v="Q1"/>
  </r>
  <r>
    <x v="1"/>
    <s v="Shelton Poultry Produce"/>
    <x v="247"/>
    <x v="9"/>
    <x v="233"/>
    <s v="Q3"/>
  </r>
  <r>
    <x v="0"/>
    <s v="Trappey's Hot Sauce"/>
    <x v="247"/>
    <x v="5"/>
    <x v="234"/>
    <s v="Q4"/>
  </r>
  <r>
    <x v="7"/>
    <s v="Gale's Curd"/>
    <x v="248"/>
    <x v="4"/>
    <x v="235"/>
    <s v="Q1"/>
  </r>
  <r>
    <x v="5"/>
    <s v="Wrigley's Chewing Gum"/>
    <x v="249"/>
    <x v="0"/>
    <x v="236"/>
    <s v="Q4"/>
  </r>
  <r>
    <x v="3"/>
    <s v="Tavernello"/>
    <x v="250"/>
    <x v="2"/>
    <x v="237"/>
    <s v="Q1"/>
  </r>
  <r>
    <x v="5"/>
    <s v="Wrigley's Chewing Gum"/>
    <x v="251"/>
    <x v="3"/>
    <x v="109"/>
    <s v="Q3"/>
  </r>
  <r>
    <x v="2"/>
    <s v="Reese's Puffs"/>
    <x v="252"/>
    <x v="7"/>
    <x v="224"/>
    <s v="Q2"/>
  </r>
  <r>
    <x v="6"/>
    <s v="Lobsters by the Bay"/>
    <x v="252"/>
    <x v="8"/>
    <x v="238"/>
    <s v="Q2"/>
  </r>
  <r>
    <x v="5"/>
    <s v="Mintolas"/>
    <x v="253"/>
    <x v="7"/>
    <x v="239"/>
    <s v="Q3"/>
  </r>
  <r>
    <x v="0"/>
    <s v="Maull's barbecue sauce"/>
    <x v="254"/>
    <x v="5"/>
    <x v="240"/>
    <s v="Q1"/>
  </r>
  <r>
    <x v="7"/>
    <s v="Chivers"/>
    <x v="255"/>
    <x v="0"/>
    <x v="241"/>
    <s v="Q1"/>
  </r>
  <r>
    <x v="1"/>
    <s v="Zacky Chicken"/>
    <x v="255"/>
    <x v="7"/>
    <x v="198"/>
    <s v="Q4"/>
  </r>
  <r>
    <x v="4"/>
    <s v="Barleycup"/>
    <x v="256"/>
    <x v="4"/>
    <x v="242"/>
    <s v="Q1"/>
  </r>
  <r>
    <x v="1"/>
    <s v="Pot Pie"/>
    <x v="257"/>
    <x v="6"/>
    <x v="172"/>
    <s v="Q1"/>
  </r>
  <r>
    <x v="7"/>
    <s v="Hartley's Jam"/>
    <x v="258"/>
    <x v="2"/>
    <x v="243"/>
    <s v="Q2"/>
  </r>
  <r>
    <x v="1"/>
    <s v="Empire Kosher Poultry"/>
    <x v="259"/>
    <x v="0"/>
    <x v="195"/>
    <s v="Q2"/>
  </r>
  <r>
    <x v="7"/>
    <s v="Rose's Marmalade"/>
    <x v="260"/>
    <x v="6"/>
    <x v="244"/>
    <s v="Q1"/>
  </r>
  <r>
    <x v="6"/>
    <s v="Chicken of the Sea"/>
    <x v="260"/>
    <x v="9"/>
    <x v="245"/>
    <s v="Q3"/>
  </r>
  <r>
    <x v="6"/>
    <s v="Fish n Feed"/>
    <x v="261"/>
    <x v="2"/>
    <x v="246"/>
    <s v="Q2"/>
  </r>
  <r>
    <x v="4"/>
    <s v="Gold Spot"/>
    <x v="262"/>
    <x v="0"/>
    <x v="91"/>
    <s v="Q3"/>
  </r>
  <r>
    <x v="7"/>
    <s v="Country Dale Milk"/>
    <x v="263"/>
    <x v="9"/>
    <x v="237"/>
    <s v="Q1"/>
  </r>
  <r>
    <x v="4"/>
    <s v="PJ's Smoothies"/>
    <x v="264"/>
    <x v="3"/>
    <x v="247"/>
    <s v="Q3"/>
  </r>
  <r>
    <x v="6"/>
    <s v="Lobsters by the Bay"/>
    <x v="264"/>
    <x v="8"/>
    <x v="51"/>
    <s v="Q4"/>
  </r>
  <r>
    <x v="3"/>
    <s v="Blue Nun"/>
    <x v="265"/>
    <x v="3"/>
    <x v="248"/>
    <s v="Q3"/>
  </r>
  <r>
    <x v="3"/>
    <s v="Heiniken"/>
    <x v="266"/>
    <x v="0"/>
    <x v="143"/>
    <s v="Q1"/>
  </r>
  <r>
    <x v="4"/>
    <s v="PDQ Chocolate"/>
    <x v="266"/>
    <x v="3"/>
    <x v="249"/>
    <s v="Q3"/>
  </r>
  <r>
    <x v="5"/>
    <s v="Bassett's Sour Squirms"/>
    <x v="267"/>
    <x v="3"/>
    <x v="250"/>
    <s v="Q3"/>
  </r>
  <r>
    <x v="1"/>
    <s v="Gold n' Plump"/>
    <x v="268"/>
    <x v="9"/>
    <x v="251"/>
    <s v="Q2"/>
  </r>
  <r>
    <x v="2"/>
    <s v="Rice Krispies"/>
    <x v="269"/>
    <x v="7"/>
    <x v="162"/>
    <s v="Q4"/>
  </r>
  <r>
    <x v="4"/>
    <s v="PDQ Chocolate"/>
    <x v="270"/>
    <x v="4"/>
    <x v="14"/>
    <s v="Q1"/>
  </r>
  <r>
    <x v="7"/>
    <s v="Chivers"/>
    <x v="271"/>
    <x v="6"/>
    <x v="252"/>
    <s v="Q4"/>
  </r>
  <r>
    <x v="2"/>
    <s v="Heart to Heart"/>
    <x v="272"/>
    <x v="1"/>
    <x v="253"/>
    <s v="Q2"/>
  </r>
  <r>
    <x v="0"/>
    <s v="Trappey's Hot Sauce"/>
    <x v="273"/>
    <x v="1"/>
    <x v="254"/>
    <s v="Q2"/>
  </r>
  <r>
    <x v="0"/>
    <s v="French's"/>
    <x v="274"/>
    <x v="7"/>
    <x v="178"/>
    <s v="Q2"/>
  </r>
  <r>
    <x v="1"/>
    <s v="Toledano Wings"/>
    <x v="275"/>
    <x v="1"/>
    <x v="159"/>
    <s v="Q3"/>
  </r>
  <r>
    <x v="2"/>
    <s v="Yog-Active"/>
    <x v="276"/>
    <x v="0"/>
    <x v="159"/>
    <s v="Q3"/>
  </r>
  <r>
    <x v="3"/>
    <s v="Richards Wild Irish Rose"/>
    <x v="277"/>
    <x v="7"/>
    <x v="255"/>
    <s v="Q2"/>
  </r>
  <r>
    <x v="5"/>
    <s v="Gooey Logs"/>
    <x v="278"/>
    <x v="1"/>
    <x v="235"/>
    <s v="Q1"/>
  </r>
  <r>
    <x v="4"/>
    <s v="The Evil Monk"/>
    <x v="279"/>
    <x v="8"/>
    <x v="256"/>
    <s v="Q2"/>
  </r>
  <r>
    <x v="2"/>
    <s v="Go Lean Cereal (Crunch)"/>
    <x v="280"/>
    <x v="0"/>
    <x v="257"/>
    <s v="Q1"/>
  </r>
  <r>
    <x v="4"/>
    <s v="Barleycup"/>
    <x v="280"/>
    <x v="9"/>
    <x v="258"/>
    <s v="Q2"/>
  </r>
  <r>
    <x v="1"/>
    <s v="Banquet Chicken"/>
    <x v="281"/>
    <x v="4"/>
    <x v="259"/>
    <s v="Q3"/>
  </r>
  <r>
    <x v="2"/>
    <s v="Heart to Heart"/>
    <x v="282"/>
    <x v="8"/>
    <x v="260"/>
    <s v="Q2"/>
  </r>
  <r>
    <x v="0"/>
    <s v="Mang Tomas"/>
    <x v="283"/>
    <x v="8"/>
    <x v="261"/>
    <s v="Q1"/>
  </r>
  <r>
    <x v="5"/>
    <s v="Lockets"/>
    <x v="284"/>
    <x v="9"/>
    <x v="129"/>
    <s v="Q2"/>
  </r>
  <r>
    <x v="5"/>
    <s v="Lockets"/>
    <x v="285"/>
    <x v="8"/>
    <x v="165"/>
    <s v="Q1"/>
  </r>
  <r>
    <x v="2"/>
    <s v="Buzz Blasts"/>
    <x v="286"/>
    <x v="2"/>
    <x v="262"/>
    <s v="Q1"/>
  </r>
  <r>
    <x v="0"/>
    <s v="Plochman's"/>
    <x v="287"/>
    <x v="0"/>
    <x v="210"/>
    <s v="Q3"/>
  </r>
  <r>
    <x v="5"/>
    <s v="Bassett's Sour Squirms"/>
    <x v="288"/>
    <x v="3"/>
    <x v="263"/>
    <s v="Q4"/>
  </r>
  <r>
    <x v="2"/>
    <s v="Honey Bunches"/>
    <x v="289"/>
    <x v="6"/>
    <x v="1"/>
    <s v="Q2"/>
  </r>
  <r>
    <x v="5"/>
    <s v="Refreshers Gums"/>
    <x v="290"/>
    <x v="6"/>
    <x v="29"/>
    <s v="Q4"/>
  </r>
  <r>
    <x v="2"/>
    <s v="Buzz Blasts"/>
    <x v="291"/>
    <x v="7"/>
    <x v="188"/>
    <s v="Q3"/>
  </r>
  <r>
    <x v="5"/>
    <s v="Freddo"/>
    <x v="292"/>
    <x v="6"/>
    <x v="264"/>
    <s v="Q2"/>
  </r>
  <r>
    <x v="4"/>
    <s v="The Evil Monk"/>
    <x v="293"/>
    <x v="6"/>
    <x v="265"/>
    <s v="Q4"/>
  </r>
  <r>
    <x v="6"/>
    <s v="Chicken of the Sea"/>
    <x v="294"/>
    <x v="8"/>
    <x v="266"/>
    <s v="Q4"/>
  </r>
  <r>
    <x v="4"/>
    <s v="Barleycup"/>
    <x v="295"/>
    <x v="9"/>
    <x v="228"/>
    <s v="Q4"/>
  </r>
  <r>
    <x v="5"/>
    <s v="Gooey Logs"/>
    <x v="296"/>
    <x v="7"/>
    <x v="0"/>
    <s v="Q1"/>
  </r>
  <r>
    <x v="2"/>
    <s v="Nut 'n Honey"/>
    <x v="297"/>
    <x v="2"/>
    <x v="267"/>
    <s v="Q3"/>
  </r>
  <r>
    <x v="4"/>
    <s v="Ovaltine"/>
    <x v="298"/>
    <x v="1"/>
    <x v="268"/>
    <s v="Q1"/>
  </r>
  <r>
    <x v="4"/>
    <s v="The Evil Monk"/>
    <x v="299"/>
    <x v="0"/>
    <x v="95"/>
    <s v="Q3"/>
  </r>
  <r>
    <x v="5"/>
    <s v="Fantails"/>
    <x v="300"/>
    <x v="7"/>
    <x v="269"/>
    <s v="Q2"/>
  </r>
  <r>
    <x v="2"/>
    <s v="Puff"/>
    <x v="301"/>
    <x v="9"/>
    <x v="122"/>
    <s v="Q1"/>
  </r>
  <r>
    <x v="4"/>
    <s v="Milo"/>
    <x v="302"/>
    <x v="2"/>
    <x v="270"/>
    <s v="Q4"/>
  </r>
  <r>
    <x v="4"/>
    <s v="Nutrimato"/>
    <x v="302"/>
    <x v="4"/>
    <x v="271"/>
    <s v="Q4"/>
  </r>
  <r>
    <x v="0"/>
    <s v="Aromat"/>
    <x v="303"/>
    <x v="3"/>
    <x v="272"/>
    <s v="Q4"/>
  </r>
  <r>
    <x v="5"/>
    <s v="Nestle Double Berry"/>
    <x v="304"/>
    <x v="2"/>
    <x v="113"/>
    <s v="Q1"/>
  </r>
  <r>
    <x v="2"/>
    <s v="Choco Crunch"/>
    <x v="305"/>
    <x v="7"/>
    <x v="57"/>
    <s v="Q4"/>
  </r>
  <r>
    <x v="4"/>
    <s v="Milo"/>
    <x v="306"/>
    <x v="0"/>
    <x v="273"/>
    <s v="Q2"/>
  </r>
  <r>
    <x v="4"/>
    <s v="Sjora"/>
    <x v="307"/>
    <x v="2"/>
    <x v="274"/>
    <s v="Q1"/>
  </r>
  <r>
    <x v="7"/>
    <s v="Country Dale Milk"/>
    <x v="307"/>
    <x v="5"/>
    <x v="275"/>
    <s v="Q4"/>
  </r>
  <r>
    <x v="2"/>
    <s v="Buzz Blasts"/>
    <x v="308"/>
    <x v="0"/>
    <x v="265"/>
    <s v="Q4"/>
  </r>
  <r>
    <x v="2"/>
    <s v="Buzz Blasts"/>
    <x v="309"/>
    <x v="2"/>
    <x v="269"/>
    <s v="Q2"/>
  </r>
  <r>
    <x v="2"/>
    <s v="Buzz Blasts"/>
    <x v="310"/>
    <x v="0"/>
    <x v="276"/>
    <s v="Q2"/>
  </r>
  <r>
    <x v="7"/>
    <s v="Hartley's Jam"/>
    <x v="311"/>
    <x v="4"/>
    <x v="277"/>
    <s v="Q1"/>
  </r>
  <r>
    <x v="2"/>
    <s v="Choco Crunch"/>
    <x v="311"/>
    <x v="8"/>
    <x v="38"/>
    <s v="Q4"/>
  </r>
  <r>
    <x v="3"/>
    <s v="Ferrari Spumante"/>
    <x v="312"/>
    <x v="6"/>
    <x v="8"/>
    <s v="Q3"/>
  </r>
  <r>
    <x v="0"/>
    <s v="Maull's barbecue sauce"/>
    <x v="313"/>
    <x v="6"/>
    <x v="278"/>
    <s v="Q3"/>
  </r>
  <r>
    <x v="0"/>
    <s v="Aromat"/>
    <x v="314"/>
    <x v="3"/>
    <x v="60"/>
    <s v="Q1"/>
  </r>
  <r>
    <x v="5"/>
    <s v="Fizz-wiz"/>
    <x v="315"/>
    <x v="6"/>
    <x v="279"/>
    <s v="Q3"/>
  </r>
  <r>
    <x v="5"/>
    <s v="Freddo"/>
    <x v="316"/>
    <x v="6"/>
    <x v="121"/>
    <s v="Q2"/>
  </r>
  <r>
    <x v="1"/>
    <s v="Gold n' Plump"/>
    <x v="317"/>
    <x v="7"/>
    <x v="280"/>
    <s v="Q2"/>
  </r>
  <r>
    <x v="3"/>
    <s v="Ferrari Spumante"/>
    <x v="317"/>
    <x v="1"/>
    <x v="92"/>
    <s v="Q4"/>
  </r>
  <r>
    <x v="7"/>
    <s v="Rose's Marmalade"/>
    <x v="318"/>
    <x v="8"/>
    <x v="281"/>
    <s v="Q3"/>
  </r>
  <r>
    <x v="6"/>
    <s v="Something Fishy"/>
    <x v="319"/>
    <x v="5"/>
    <x v="156"/>
    <s v="Q2"/>
  </r>
  <r>
    <x v="3"/>
    <s v="Kentucky Common Beer"/>
    <x v="320"/>
    <x v="0"/>
    <x v="4"/>
    <s v="Q4"/>
  </r>
  <r>
    <x v="2"/>
    <s v="Rice Krispies"/>
    <x v="321"/>
    <x v="0"/>
    <x v="282"/>
    <s v="Q3"/>
  </r>
  <r>
    <x v="4"/>
    <s v="Nutrimato"/>
    <x v="322"/>
    <x v="1"/>
    <x v="187"/>
    <s v="Q3"/>
  </r>
  <r>
    <x v="5"/>
    <s v="Fizz-wiz"/>
    <x v="323"/>
    <x v="4"/>
    <x v="283"/>
    <s v="Q1"/>
  </r>
  <r>
    <x v="4"/>
    <s v="Gold Spot"/>
    <x v="324"/>
    <x v="9"/>
    <x v="284"/>
    <s v="Q3"/>
  </r>
  <r>
    <x v="7"/>
    <s v="Rose's Marmalade"/>
    <x v="324"/>
    <x v="0"/>
    <x v="142"/>
    <s v="Q4"/>
  </r>
  <r>
    <x v="1"/>
    <s v="Pilgrims Pride"/>
    <x v="325"/>
    <x v="9"/>
    <x v="285"/>
    <s v="Q4"/>
  </r>
  <r>
    <x v="1"/>
    <s v="Pilgrims Pride"/>
    <x v="326"/>
    <x v="5"/>
    <x v="108"/>
    <s v="Q1"/>
  </r>
  <r>
    <x v="1"/>
    <s v="Empire Kosher Poultry"/>
    <x v="327"/>
    <x v="0"/>
    <x v="286"/>
    <s v="Q1"/>
  </r>
  <r>
    <x v="5"/>
    <s v="Mintolas"/>
    <x v="328"/>
    <x v="1"/>
    <x v="287"/>
    <s v="Q3"/>
  </r>
  <r>
    <x v="5"/>
    <s v="Mintolas"/>
    <x v="329"/>
    <x v="5"/>
    <x v="288"/>
    <s v="Q3"/>
  </r>
  <r>
    <x v="3"/>
    <s v="Budweiser"/>
    <x v="330"/>
    <x v="5"/>
    <x v="35"/>
    <s v="Q1"/>
  </r>
  <r>
    <x v="5"/>
    <s v="Mintolas"/>
    <x v="331"/>
    <x v="7"/>
    <x v="289"/>
    <s v="Q4"/>
  </r>
  <r>
    <x v="2"/>
    <s v="Grape Nut Flakes"/>
    <x v="332"/>
    <x v="1"/>
    <x v="41"/>
    <s v="Q1"/>
  </r>
  <r>
    <x v="3"/>
    <s v="Richards Wild Irish Rose"/>
    <x v="332"/>
    <x v="7"/>
    <x v="290"/>
    <s v="Q1"/>
  </r>
  <r>
    <x v="2"/>
    <s v="Choco Crunch"/>
    <x v="333"/>
    <x v="2"/>
    <x v="183"/>
    <s v="Q4"/>
  </r>
  <r>
    <x v="1"/>
    <s v="Zacky Chicken"/>
    <x v="334"/>
    <x v="6"/>
    <x v="44"/>
    <s v="Q2"/>
  </r>
  <r>
    <x v="4"/>
    <s v="Gold Spot"/>
    <x v="335"/>
    <x v="0"/>
    <x v="178"/>
    <s v="Q2"/>
  </r>
  <r>
    <x v="3"/>
    <s v="Blue Nun"/>
    <x v="336"/>
    <x v="7"/>
    <x v="5"/>
    <s v="Q4"/>
  </r>
  <r>
    <x v="2"/>
    <s v="Go Lean Cereal (Crunch)"/>
    <x v="337"/>
    <x v="1"/>
    <x v="160"/>
    <s v="Q1"/>
  </r>
  <r>
    <x v="7"/>
    <s v="Sun-Pat Peanut Butter"/>
    <x v="337"/>
    <x v="6"/>
    <x v="291"/>
    <s v="Q4"/>
  </r>
  <r>
    <x v="4"/>
    <s v="Horlicks"/>
    <x v="338"/>
    <x v="9"/>
    <x v="213"/>
    <s v="Q3"/>
  </r>
  <r>
    <x v="2"/>
    <s v="Buzz Blasts"/>
    <x v="339"/>
    <x v="5"/>
    <x v="292"/>
    <s v="Q4"/>
  </r>
  <r>
    <x v="7"/>
    <s v="Rose's Marmalade"/>
    <x v="340"/>
    <x v="1"/>
    <x v="72"/>
    <s v="Q1"/>
  </r>
  <r>
    <x v="0"/>
    <s v="Mang Tomas"/>
    <x v="341"/>
    <x v="2"/>
    <x v="293"/>
    <s v="Q3"/>
  </r>
  <r>
    <x v="1"/>
    <s v="Zacky Chicken"/>
    <x v="342"/>
    <x v="1"/>
    <x v="121"/>
    <s v="Q2"/>
  </r>
  <r>
    <x v="2"/>
    <s v="Puff"/>
    <x v="343"/>
    <x v="6"/>
    <x v="294"/>
    <s v="Q2"/>
  </r>
  <r>
    <x v="1"/>
    <s v="Zacky Chicken"/>
    <x v="344"/>
    <x v="6"/>
    <x v="295"/>
    <s v="Q2"/>
  </r>
  <r>
    <x v="4"/>
    <s v="Lipton Brisk"/>
    <x v="345"/>
    <x v="3"/>
    <x v="296"/>
    <s v="Q3"/>
  </r>
  <r>
    <x v="2"/>
    <s v="Choco Crunch"/>
    <x v="346"/>
    <x v="6"/>
    <x v="5"/>
    <s v="Q4"/>
  </r>
  <r>
    <x v="0"/>
    <s v="Mang Tomas"/>
    <x v="347"/>
    <x v="1"/>
    <x v="83"/>
    <s v="Q3"/>
  </r>
  <r>
    <x v="7"/>
    <s v="Rose's Marmalade"/>
    <x v="348"/>
    <x v="7"/>
    <x v="93"/>
    <s v="Q4"/>
  </r>
  <r>
    <x v="1"/>
    <s v="Pepperoni Pit"/>
    <x v="349"/>
    <x v="6"/>
    <x v="253"/>
    <s v="Q2"/>
  </r>
  <r>
    <x v="7"/>
    <s v="Chivers"/>
    <x v="349"/>
    <x v="1"/>
    <x v="297"/>
    <s v="Q4"/>
  </r>
  <r>
    <x v="5"/>
    <s v="Gooey Logs"/>
    <x v="350"/>
    <x v="6"/>
    <x v="162"/>
    <s v="Q4"/>
  </r>
  <r>
    <x v="2"/>
    <s v="Honey Bunches"/>
    <x v="351"/>
    <x v="9"/>
    <x v="298"/>
    <s v="Q3"/>
  </r>
  <r>
    <x v="5"/>
    <s v="Double Dip Sherbet"/>
    <x v="352"/>
    <x v="4"/>
    <x v="299"/>
    <s v="Q1"/>
  </r>
  <r>
    <x v="1"/>
    <s v="Gold n' Plump"/>
    <x v="353"/>
    <x v="8"/>
    <x v="161"/>
    <s v="Q2"/>
  </r>
  <r>
    <x v="0"/>
    <s v="Plochman's"/>
    <x v="354"/>
    <x v="4"/>
    <x v="151"/>
    <s v="Q1"/>
  </r>
  <r>
    <x v="5"/>
    <s v="McCowans"/>
    <x v="355"/>
    <x v="8"/>
    <x v="87"/>
    <s v="Q1"/>
  </r>
  <r>
    <x v="1"/>
    <s v="Barbers Eggs"/>
    <x v="356"/>
    <x v="2"/>
    <x v="300"/>
    <s v="Q1"/>
  </r>
  <r>
    <x v="5"/>
    <s v="Mintolas"/>
    <x v="357"/>
    <x v="4"/>
    <x v="301"/>
    <s v="Q3"/>
  </r>
  <r>
    <x v="2"/>
    <s v="Sultana Bran"/>
    <x v="358"/>
    <x v="1"/>
    <x v="302"/>
    <s v="Q2"/>
  </r>
  <r>
    <x v="5"/>
    <s v="Refreshers Gums"/>
    <x v="359"/>
    <x v="0"/>
    <x v="303"/>
    <s v="Q2"/>
  </r>
  <r>
    <x v="1"/>
    <s v="Pilgrims Pride"/>
    <x v="360"/>
    <x v="7"/>
    <x v="304"/>
    <s v="Q1"/>
  </r>
  <r>
    <x v="3"/>
    <s v="Tavernello"/>
    <x v="361"/>
    <x v="5"/>
    <x v="283"/>
    <s v="Q1"/>
  </r>
  <r>
    <x v="0"/>
    <s v="Maull's barbecue sauce"/>
    <x v="362"/>
    <x v="1"/>
    <x v="305"/>
    <s v="Q4"/>
  </r>
  <r>
    <x v="2"/>
    <s v="Chocolate Oat Crunch Life"/>
    <x v="363"/>
    <x v="5"/>
    <x v="15"/>
    <s v="Q4"/>
  </r>
  <r>
    <x v="4"/>
    <s v="Barleycup"/>
    <x v="364"/>
    <x v="1"/>
    <x v="35"/>
    <s v="Q1"/>
  </r>
  <r>
    <x v="5"/>
    <s v="Refreshers Gums"/>
    <x v="364"/>
    <x v="2"/>
    <x v="306"/>
    <s v="Q2"/>
  </r>
  <r>
    <x v="1"/>
    <s v="Zacky Chicken"/>
    <x v="365"/>
    <x v="8"/>
    <x v="193"/>
    <s v="Q2"/>
  </r>
  <r>
    <x v="2"/>
    <s v="Heart to Heart"/>
    <x v="366"/>
    <x v="9"/>
    <x v="120"/>
    <s v="Q2"/>
  </r>
  <r>
    <x v="1"/>
    <s v="Toledano Wings"/>
    <x v="367"/>
    <x v="4"/>
    <x v="307"/>
    <s v="Q1"/>
  </r>
  <r>
    <x v="3"/>
    <s v="Budweiser"/>
    <x v="367"/>
    <x v="4"/>
    <x v="308"/>
    <s v="Q1"/>
  </r>
  <r>
    <x v="5"/>
    <s v="Mintolas"/>
    <x v="367"/>
    <x v="4"/>
    <x v="176"/>
    <s v="Q2"/>
  </r>
  <r>
    <x v="1"/>
    <s v="Pepperoni Pit"/>
    <x v="368"/>
    <x v="0"/>
    <x v="123"/>
    <s v="Q1"/>
  </r>
  <r>
    <x v="4"/>
    <s v="Benco Instant Choco Drink"/>
    <x v="369"/>
    <x v="2"/>
    <x v="309"/>
    <s v="Q2"/>
  </r>
  <r>
    <x v="4"/>
    <s v="Milo"/>
    <x v="370"/>
    <x v="8"/>
    <x v="253"/>
    <s v="Q2"/>
  </r>
  <r>
    <x v="4"/>
    <s v="Gold Spot"/>
    <x v="371"/>
    <x v="6"/>
    <x v="310"/>
    <s v="Q1"/>
  </r>
  <r>
    <x v="3"/>
    <s v="Tavernello"/>
    <x v="371"/>
    <x v="9"/>
    <x v="193"/>
    <s v="Q2"/>
  </r>
  <r>
    <x v="1"/>
    <s v="Banquet Chicken"/>
    <x v="372"/>
    <x v="5"/>
    <x v="311"/>
    <s v="Q1"/>
  </r>
  <r>
    <x v="3"/>
    <s v="Richards Wild Irish Rose"/>
    <x v="373"/>
    <x v="6"/>
    <x v="312"/>
    <s v="Q4"/>
  </r>
  <r>
    <x v="1"/>
    <s v="Toledano Wings"/>
    <x v="374"/>
    <x v="3"/>
    <x v="253"/>
    <s v="Q2"/>
  </r>
  <r>
    <x v="1"/>
    <s v="Gold n' Plump"/>
    <x v="375"/>
    <x v="5"/>
    <x v="142"/>
    <s v="Q4"/>
  </r>
  <r>
    <x v="4"/>
    <s v="Gold Spot"/>
    <x v="376"/>
    <x v="8"/>
    <x v="313"/>
    <s v="Q1"/>
  </r>
  <r>
    <x v="3"/>
    <s v="Carlsberg"/>
    <x v="377"/>
    <x v="5"/>
    <x v="314"/>
    <s v="Q1"/>
  </r>
  <r>
    <x v="0"/>
    <s v="Trappey's Hot Sauce"/>
    <x v="377"/>
    <x v="9"/>
    <x v="315"/>
    <s v="Q2"/>
  </r>
  <r>
    <x v="5"/>
    <s v="Gooey Logs"/>
    <x v="377"/>
    <x v="9"/>
    <x v="306"/>
    <s v="Q2"/>
  </r>
  <r>
    <x v="4"/>
    <s v="The Evil Monk"/>
    <x v="378"/>
    <x v="2"/>
    <x v="316"/>
    <s v="Q3"/>
  </r>
  <r>
    <x v="4"/>
    <s v="Cravendale"/>
    <x v="379"/>
    <x v="4"/>
    <x v="299"/>
    <s v="Q1"/>
  </r>
  <r>
    <x v="4"/>
    <s v="Lipton Brisk"/>
    <x v="379"/>
    <x v="1"/>
    <x v="317"/>
    <s v="Q1"/>
  </r>
  <r>
    <x v="2"/>
    <s v="Granola"/>
    <x v="380"/>
    <x v="9"/>
    <x v="199"/>
    <s v="Q2"/>
  </r>
  <r>
    <x v="5"/>
    <s v="Freddo"/>
    <x v="381"/>
    <x v="2"/>
    <x v="3"/>
    <s v="Q4"/>
  </r>
  <r>
    <x v="6"/>
    <s v="Chicken of the Sea"/>
    <x v="382"/>
    <x v="0"/>
    <x v="318"/>
    <s v="Q3"/>
  </r>
  <r>
    <x v="4"/>
    <s v="The Evil Monk"/>
    <x v="383"/>
    <x v="7"/>
    <x v="253"/>
    <s v="Q2"/>
  </r>
  <r>
    <x v="2"/>
    <s v="Puff"/>
    <x v="384"/>
    <x v="1"/>
    <x v="186"/>
    <s v="Q3"/>
  </r>
  <r>
    <x v="3"/>
    <s v="Corona"/>
    <x v="385"/>
    <x v="0"/>
    <x v="211"/>
    <s v="Q1"/>
  </r>
  <r>
    <x v="4"/>
    <s v="Bovril"/>
    <x v="386"/>
    <x v="1"/>
    <x v="319"/>
    <s v="Q2"/>
  </r>
  <r>
    <x v="2"/>
    <s v="Buzz Blasts"/>
    <x v="387"/>
    <x v="3"/>
    <x v="320"/>
    <s v="Q2"/>
  </r>
  <r>
    <x v="3"/>
    <s v="Ferrari Spumante"/>
    <x v="388"/>
    <x v="2"/>
    <x v="182"/>
    <s v="Q2"/>
  </r>
  <r>
    <x v="2"/>
    <s v="Rice Krispies"/>
    <x v="389"/>
    <x v="9"/>
    <x v="120"/>
    <s v="Q2"/>
  </r>
  <r>
    <x v="1"/>
    <s v="Shelton Poultry Produce"/>
    <x v="390"/>
    <x v="6"/>
    <x v="321"/>
    <s v="Q1"/>
  </r>
  <r>
    <x v="0"/>
    <s v="Heinz Tomato Ketchup"/>
    <x v="390"/>
    <x v="2"/>
    <x v="322"/>
    <s v="Q2"/>
  </r>
  <r>
    <x v="3"/>
    <s v="Blue Nun"/>
    <x v="391"/>
    <x v="4"/>
    <x v="323"/>
    <s v="Q2"/>
  </r>
  <r>
    <x v="2"/>
    <s v="Nut 'n Honey"/>
    <x v="392"/>
    <x v="4"/>
    <x v="324"/>
    <s v="Q4"/>
  </r>
  <r>
    <x v="5"/>
    <s v="Nestle Double Berry"/>
    <x v="393"/>
    <x v="8"/>
    <x v="325"/>
    <s v="Q1"/>
  </r>
  <r>
    <x v="5"/>
    <s v="Refreshers Gums"/>
    <x v="394"/>
    <x v="9"/>
    <x v="326"/>
    <s v="Q2"/>
  </r>
  <r>
    <x v="1"/>
    <s v="Gold n' Plump"/>
    <x v="394"/>
    <x v="3"/>
    <x v="327"/>
    <s v="Q2"/>
  </r>
  <r>
    <x v="7"/>
    <s v="Rose's Marmalade"/>
    <x v="395"/>
    <x v="9"/>
    <x v="328"/>
    <s v="Q4"/>
  </r>
  <r>
    <x v="3"/>
    <s v="Kentucky Common Beer"/>
    <x v="396"/>
    <x v="3"/>
    <x v="219"/>
    <s v="Q3"/>
  </r>
  <r>
    <x v="1"/>
    <s v="Shelton Poultry Produce"/>
    <x v="397"/>
    <x v="3"/>
    <x v="148"/>
    <s v="Q2"/>
  </r>
  <r>
    <x v="0"/>
    <s v="Mang Tomas"/>
    <x v="398"/>
    <x v="1"/>
    <x v="24"/>
    <s v="Q2"/>
  </r>
  <r>
    <x v="0"/>
    <s v="Heinz Tomato Ketchup"/>
    <x v="399"/>
    <x v="9"/>
    <x v="31"/>
    <s v="Q4"/>
  </r>
  <r>
    <x v="7"/>
    <s v="Chivers"/>
    <x v="400"/>
    <x v="1"/>
    <x v="90"/>
    <s v="Q2"/>
  </r>
  <r>
    <x v="3"/>
    <s v="Heiniken"/>
    <x v="401"/>
    <x v="3"/>
    <x v="329"/>
    <s v="Q3"/>
  </r>
  <r>
    <x v="4"/>
    <s v="Horlicks"/>
    <x v="402"/>
    <x v="5"/>
    <x v="315"/>
    <s v="Q2"/>
  </r>
  <r>
    <x v="4"/>
    <s v="Cravendale"/>
    <x v="403"/>
    <x v="5"/>
    <x v="330"/>
    <s v="Q1"/>
  </r>
  <r>
    <x v="4"/>
    <s v="Cravendale"/>
    <x v="404"/>
    <x v="6"/>
    <x v="331"/>
    <s v="Q3"/>
  </r>
  <r>
    <x v="6"/>
    <s v="Chicken of the Sea"/>
    <x v="405"/>
    <x v="5"/>
    <x v="332"/>
    <s v="Q2"/>
  </r>
  <r>
    <x v="4"/>
    <s v="Lipton Brisk"/>
    <x v="406"/>
    <x v="6"/>
    <x v="333"/>
    <s v="Q2"/>
  </r>
  <r>
    <x v="7"/>
    <s v="Chivers"/>
    <x v="406"/>
    <x v="6"/>
    <x v="334"/>
    <s v="Q2"/>
  </r>
  <r>
    <x v="2"/>
    <s v="Bart's Peanut Butter Chocolate Crunch"/>
    <x v="407"/>
    <x v="8"/>
    <x v="262"/>
    <s v="Q1"/>
  </r>
  <r>
    <x v="2"/>
    <s v="Honey Bunches"/>
    <x v="408"/>
    <x v="7"/>
    <x v="335"/>
    <s v="Q3"/>
  </r>
  <r>
    <x v="3"/>
    <s v="Budweiser"/>
    <x v="409"/>
    <x v="2"/>
    <x v="211"/>
    <s v="Q1"/>
  </r>
  <r>
    <x v="2"/>
    <s v="Nut 'n Honey"/>
    <x v="410"/>
    <x v="3"/>
    <x v="336"/>
    <s v="Q4"/>
  </r>
  <r>
    <x v="3"/>
    <s v="Ferrari Spumante"/>
    <x v="411"/>
    <x v="5"/>
    <x v="269"/>
    <s v="Q2"/>
  </r>
  <r>
    <x v="4"/>
    <s v="Ovaltine"/>
    <x v="411"/>
    <x v="4"/>
    <x v="337"/>
    <s v="Q3"/>
  </r>
  <r>
    <x v="7"/>
    <s v="Hartley's Jam"/>
    <x v="412"/>
    <x v="3"/>
    <x v="21"/>
    <s v="Q3"/>
  </r>
  <r>
    <x v="2"/>
    <s v="Rice Krispies"/>
    <x v="413"/>
    <x v="2"/>
    <x v="338"/>
    <s v="Q3"/>
  </r>
  <r>
    <x v="4"/>
    <s v="The Evil Monk"/>
    <x v="414"/>
    <x v="8"/>
    <x v="339"/>
    <s v="Q4"/>
  </r>
  <r>
    <x v="1"/>
    <s v="Pot Pie"/>
    <x v="414"/>
    <x v="1"/>
    <x v="340"/>
    <s v="Q4"/>
  </r>
  <r>
    <x v="4"/>
    <s v="Benco Instant Choco Drink"/>
    <x v="415"/>
    <x v="4"/>
    <x v="341"/>
    <s v="Q4"/>
  </r>
  <r>
    <x v="4"/>
    <s v="Nutrimato"/>
    <x v="416"/>
    <x v="8"/>
    <x v="169"/>
    <s v="Q3"/>
  </r>
  <r>
    <x v="2"/>
    <s v="Choco Crunch"/>
    <x v="417"/>
    <x v="4"/>
    <x v="301"/>
    <s v="Q3"/>
  </r>
  <r>
    <x v="1"/>
    <s v="Pot Pie"/>
    <x v="417"/>
    <x v="5"/>
    <x v="263"/>
    <s v="Q4"/>
  </r>
  <r>
    <x v="5"/>
    <s v="Lockets"/>
    <x v="418"/>
    <x v="3"/>
    <x v="162"/>
    <s v="Q4"/>
  </r>
  <r>
    <x v="4"/>
    <s v="Bovril"/>
    <x v="419"/>
    <x v="9"/>
    <x v="263"/>
    <s v="Q4"/>
  </r>
  <r>
    <x v="5"/>
    <s v="Mintolas"/>
    <x v="420"/>
    <x v="3"/>
    <x v="253"/>
    <s v="Q2"/>
  </r>
  <r>
    <x v="2"/>
    <s v="Go Lean Cereal (Crunch)"/>
    <x v="421"/>
    <x v="9"/>
    <x v="342"/>
    <s v="Q2"/>
  </r>
  <r>
    <x v="5"/>
    <s v="Mintolas"/>
    <x v="422"/>
    <x v="8"/>
    <x v="260"/>
    <s v="Q2"/>
  </r>
  <r>
    <x v="4"/>
    <s v="Gold Spot"/>
    <x v="423"/>
    <x v="5"/>
    <x v="49"/>
    <s v="Q1"/>
  </r>
  <r>
    <x v="6"/>
    <s v="Something Fishy"/>
    <x v="424"/>
    <x v="4"/>
    <x v="343"/>
    <s v="Q2"/>
  </r>
  <r>
    <x v="5"/>
    <s v="Fizz-wiz"/>
    <x v="425"/>
    <x v="4"/>
    <x v="201"/>
    <s v="Q2"/>
  </r>
  <r>
    <x v="4"/>
    <s v="Nutrimato"/>
    <x v="426"/>
    <x v="1"/>
    <x v="88"/>
    <s v="Q4"/>
  </r>
  <r>
    <x v="4"/>
    <s v="PDQ Chocolate"/>
    <x v="427"/>
    <x v="1"/>
    <x v="49"/>
    <s v="Q1"/>
  </r>
  <r>
    <x v="4"/>
    <s v="Cravendale"/>
    <x v="428"/>
    <x v="7"/>
    <x v="338"/>
    <s v="Q3"/>
  </r>
  <r>
    <x v="2"/>
    <s v="Chocolate Oat Crunch Life"/>
    <x v="429"/>
    <x v="3"/>
    <x v="194"/>
    <s v="Q4"/>
  </r>
  <r>
    <x v="4"/>
    <s v="Horlicks"/>
    <x v="430"/>
    <x v="5"/>
    <x v="344"/>
    <s v="Q3"/>
  </r>
  <r>
    <x v="3"/>
    <s v="Budweiser"/>
    <x v="431"/>
    <x v="8"/>
    <x v="124"/>
    <s v="Q2"/>
  </r>
  <r>
    <x v="2"/>
    <s v="Chocolate Oat Crunch Life"/>
    <x v="432"/>
    <x v="1"/>
    <x v="345"/>
    <s v="Q1"/>
  </r>
  <r>
    <x v="4"/>
    <s v="PDQ Chocolate"/>
    <x v="432"/>
    <x v="0"/>
    <x v="148"/>
    <s v="Q2"/>
  </r>
  <r>
    <x v="1"/>
    <s v="Toledano Wings"/>
    <x v="433"/>
    <x v="6"/>
    <x v="253"/>
    <s v="Q2"/>
  </r>
  <r>
    <x v="4"/>
    <s v="Lipton Brisk"/>
    <x v="434"/>
    <x v="0"/>
    <x v="346"/>
    <s v="Q1"/>
  </r>
  <r>
    <x v="5"/>
    <s v="Freddo"/>
    <x v="434"/>
    <x v="5"/>
    <x v="347"/>
    <s v="Q3"/>
  </r>
  <r>
    <x v="7"/>
    <s v="Country Dale Milk"/>
    <x v="434"/>
    <x v="0"/>
    <x v="348"/>
    <s v="Q4"/>
  </r>
  <r>
    <x v="1"/>
    <s v="Barbers Eggs"/>
    <x v="435"/>
    <x v="9"/>
    <x v="227"/>
    <s v="Q3"/>
  </r>
  <r>
    <x v="2"/>
    <s v="Nut 'n Honey"/>
    <x v="436"/>
    <x v="0"/>
    <x v="145"/>
    <s v="Q2"/>
  </r>
  <r>
    <x v="4"/>
    <s v="Horlicks"/>
    <x v="437"/>
    <x v="6"/>
    <x v="34"/>
    <s v="Q4"/>
  </r>
  <r>
    <x v="4"/>
    <s v="The Evil Monk"/>
    <x v="438"/>
    <x v="6"/>
    <x v="349"/>
    <s v="Q2"/>
  </r>
  <r>
    <x v="2"/>
    <s v="Nut 'n Honey"/>
    <x v="439"/>
    <x v="9"/>
    <x v="350"/>
    <s v="Q2"/>
  </r>
  <r>
    <x v="2"/>
    <s v="Buzz Blasts"/>
    <x v="440"/>
    <x v="5"/>
    <x v="343"/>
    <s v="Q2"/>
  </r>
  <r>
    <x v="5"/>
    <s v="Double Dip Sherbet"/>
    <x v="441"/>
    <x v="5"/>
    <x v="351"/>
    <s v="Q2"/>
  </r>
  <r>
    <x v="4"/>
    <s v="Milo"/>
    <x v="442"/>
    <x v="9"/>
    <x v="352"/>
    <s v="Q4"/>
  </r>
  <r>
    <x v="1"/>
    <s v="Zacky Chicken"/>
    <x v="443"/>
    <x v="3"/>
    <x v="48"/>
    <s v="Q3"/>
  </r>
  <r>
    <x v="6"/>
    <s v="Something Fishy"/>
    <x v="444"/>
    <x v="0"/>
    <x v="222"/>
    <s v="Q2"/>
  </r>
  <r>
    <x v="3"/>
    <s v="Kentucky Common Beer"/>
    <x v="445"/>
    <x v="2"/>
    <x v="353"/>
    <s v="Q3"/>
  </r>
  <r>
    <x v="6"/>
    <s v="Chicken of the Sea"/>
    <x v="446"/>
    <x v="3"/>
    <x v="208"/>
    <s v="Q2"/>
  </r>
  <r>
    <x v="5"/>
    <s v="Freddo"/>
    <x v="447"/>
    <x v="7"/>
    <x v="28"/>
    <s v="Q4"/>
  </r>
  <r>
    <x v="1"/>
    <s v="Toledano Wings"/>
    <x v="448"/>
    <x v="2"/>
    <x v="354"/>
    <s v="Q4"/>
  </r>
  <r>
    <x v="0"/>
    <s v="French's"/>
    <x v="449"/>
    <x v="5"/>
    <x v="355"/>
    <s v="Q4"/>
  </r>
  <r>
    <x v="0"/>
    <s v="French's"/>
    <x v="450"/>
    <x v="2"/>
    <x v="356"/>
    <s v="Q2"/>
  </r>
  <r>
    <x v="4"/>
    <s v="Horlicks"/>
    <x v="451"/>
    <x v="4"/>
    <x v="327"/>
    <s v="Q2"/>
  </r>
  <r>
    <x v="3"/>
    <s v="Richards Wild Irish Rose"/>
    <x v="452"/>
    <x v="2"/>
    <x v="357"/>
    <s v="Q3"/>
  </r>
  <r>
    <x v="2"/>
    <s v="Reese's Puffs"/>
    <x v="453"/>
    <x v="7"/>
    <x v="358"/>
    <s v="Q3"/>
  </r>
  <r>
    <x v="4"/>
    <s v="Gold Spot"/>
    <x v="454"/>
    <x v="1"/>
    <x v="129"/>
    <s v="Q2"/>
  </r>
  <r>
    <x v="4"/>
    <s v="Gold Spot"/>
    <x v="455"/>
    <x v="3"/>
    <x v="229"/>
    <s v="Q4"/>
  </r>
  <r>
    <x v="0"/>
    <s v="Maull's barbecue sauce"/>
    <x v="456"/>
    <x v="4"/>
    <x v="359"/>
    <s v="Q2"/>
  </r>
  <r>
    <x v="6"/>
    <s v="Fish n Feed"/>
    <x v="457"/>
    <x v="1"/>
    <x v="360"/>
    <s v="Q4"/>
  </r>
  <r>
    <x v="4"/>
    <s v="Ovaltine"/>
    <x v="458"/>
    <x v="6"/>
    <x v="153"/>
    <s v="Q2"/>
  </r>
  <r>
    <x v="4"/>
    <s v="The Evil Monk"/>
    <x v="459"/>
    <x v="1"/>
    <x v="93"/>
    <s v="Q4"/>
  </r>
  <r>
    <x v="3"/>
    <s v="Heiniken"/>
    <x v="460"/>
    <x v="5"/>
    <x v="361"/>
    <s v="Q2"/>
  </r>
  <r>
    <x v="5"/>
    <s v="Lockets"/>
    <x v="461"/>
    <x v="9"/>
    <x v="362"/>
    <s v="Q4"/>
  </r>
  <r>
    <x v="0"/>
    <s v="Plochman's"/>
    <x v="462"/>
    <x v="4"/>
    <x v="363"/>
    <s v="Q4"/>
  </r>
  <r>
    <x v="4"/>
    <s v="PDQ Chocolate"/>
    <x v="463"/>
    <x v="9"/>
    <x v="260"/>
    <s v="Q2"/>
  </r>
  <r>
    <x v="1"/>
    <s v="Empire Kosher Poultry"/>
    <x v="463"/>
    <x v="3"/>
    <x v="364"/>
    <s v="Q3"/>
  </r>
  <r>
    <x v="4"/>
    <s v="Milo"/>
    <x v="464"/>
    <x v="5"/>
    <x v="365"/>
    <s v="Q1"/>
  </r>
  <r>
    <x v="0"/>
    <s v="French's"/>
    <x v="465"/>
    <x v="4"/>
    <x v="366"/>
    <s v="Q4"/>
  </r>
  <r>
    <x v="0"/>
    <s v="Homepride"/>
    <x v="466"/>
    <x v="0"/>
    <x v="367"/>
    <s v="Q1"/>
  </r>
  <r>
    <x v="5"/>
    <s v="Freddo"/>
    <x v="467"/>
    <x v="8"/>
    <x v="10"/>
    <s v="Q3"/>
  </r>
  <r>
    <x v="2"/>
    <s v="Reese's Puffs"/>
    <x v="468"/>
    <x v="5"/>
    <x v="368"/>
    <s v="Q1"/>
  </r>
  <r>
    <x v="2"/>
    <s v="Yog-Active"/>
    <x v="469"/>
    <x v="9"/>
    <x v="369"/>
    <s v="Q4"/>
  </r>
  <r>
    <x v="2"/>
    <s v="Choco Crunch"/>
    <x v="469"/>
    <x v="2"/>
    <x v="63"/>
    <s v="Q4"/>
  </r>
  <r>
    <x v="2"/>
    <s v="Grape Nut Flakes"/>
    <x v="470"/>
    <x v="4"/>
    <x v="222"/>
    <s v="Q2"/>
  </r>
  <r>
    <x v="0"/>
    <s v="Aromat"/>
    <x v="471"/>
    <x v="4"/>
    <x v="370"/>
    <s v="Q2"/>
  </r>
  <r>
    <x v="5"/>
    <s v="McCowans"/>
    <x v="472"/>
    <x v="8"/>
    <x v="371"/>
    <s v="Q2"/>
  </r>
  <r>
    <x v="1"/>
    <s v="Gold n' Plump"/>
    <x v="473"/>
    <x v="8"/>
    <x v="372"/>
    <s v="Q3"/>
  </r>
  <r>
    <x v="7"/>
    <s v="Hartley's Jam"/>
    <x v="474"/>
    <x v="8"/>
    <x v="373"/>
    <s v="Q4"/>
  </r>
  <r>
    <x v="4"/>
    <s v="Gold Spot"/>
    <x v="475"/>
    <x v="4"/>
    <x v="374"/>
    <s v="Q3"/>
  </r>
  <r>
    <x v="6"/>
    <s v="Lobsters by the Bay"/>
    <x v="476"/>
    <x v="9"/>
    <x v="78"/>
    <s v="Q1"/>
  </r>
  <r>
    <x v="0"/>
    <s v="Trappey's Hot Sauce"/>
    <x v="476"/>
    <x v="1"/>
    <x v="139"/>
    <s v="Q2"/>
  </r>
  <r>
    <x v="3"/>
    <s v="Tavernello"/>
    <x v="477"/>
    <x v="1"/>
    <x v="280"/>
    <s v="Q2"/>
  </r>
  <r>
    <x v="1"/>
    <s v="Pepperoni Pit"/>
    <x v="478"/>
    <x v="4"/>
    <x v="165"/>
    <s v="Q1"/>
  </r>
  <r>
    <x v="4"/>
    <s v="PDQ Chocolate"/>
    <x v="479"/>
    <x v="7"/>
    <x v="375"/>
    <s v="Q1"/>
  </r>
  <r>
    <x v="4"/>
    <s v="PDQ Chocolate"/>
    <x v="480"/>
    <x v="7"/>
    <x v="197"/>
    <s v="Q3"/>
  </r>
  <r>
    <x v="2"/>
    <s v="Nut 'n Honey"/>
    <x v="481"/>
    <x v="8"/>
    <x v="376"/>
    <s v="Q3"/>
  </r>
  <r>
    <x v="0"/>
    <s v="Aromat"/>
    <x v="482"/>
    <x v="9"/>
    <x v="186"/>
    <s v="Q3"/>
  </r>
  <r>
    <x v="0"/>
    <s v="Gentleman's Relish"/>
    <x v="483"/>
    <x v="9"/>
    <x v="253"/>
    <s v="Q2"/>
  </r>
  <r>
    <x v="4"/>
    <s v="PJ's Smoothies"/>
    <x v="483"/>
    <x v="3"/>
    <x v="377"/>
    <s v="Q4"/>
  </r>
  <r>
    <x v="5"/>
    <s v="McCowans"/>
    <x v="484"/>
    <x v="6"/>
    <x v="378"/>
    <s v="Q4"/>
  </r>
  <r>
    <x v="3"/>
    <s v="Ferrari Spumante"/>
    <x v="485"/>
    <x v="7"/>
    <x v="379"/>
    <s v="Q3"/>
  </r>
  <r>
    <x v="5"/>
    <s v="Gooey Logs"/>
    <x v="485"/>
    <x v="9"/>
    <x v="360"/>
    <s v="Q4"/>
  </r>
  <r>
    <x v="3"/>
    <s v="Tavernello"/>
    <x v="486"/>
    <x v="2"/>
    <x v="380"/>
    <s v="Q2"/>
  </r>
  <r>
    <x v="3"/>
    <s v="Tavernello"/>
    <x v="487"/>
    <x v="6"/>
    <x v="63"/>
    <s v="Q4"/>
  </r>
  <r>
    <x v="1"/>
    <s v="Pilgrims Pride"/>
    <x v="488"/>
    <x v="4"/>
    <x v="381"/>
    <s v="Q3"/>
  </r>
  <r>
    <x v="0"/>
    <s v="Aromat"/>
    <x v="489"/>
    <x v="4"/>
    <x v="382"/>
    <s v="Q3"/>
  </r>
  <r>
    <x v="2"/>
    <s v="Rice Krispies"/>
    <x v="490"/>
    <x v="8"/>
    <x v="117"/>
    <s v="Q1"/>
  </r>
  <r>
    <x v="0"/>
    <s v="Gentleman's Relish"/>
    <x v="491"/>
    <x v="3"/>
    <x v="260"/>
    <s v="Q2"/>
  </r>
  <r>
    <x v="7"/>
    <s v="Gale's Curd"/>
    <x v="492"/>
    <x v="6"/>
    <x v="60"/>
    <s v="Q1"/>
  </r>
  <r>
    <x v="0"/>
    <s v="French's"/>
    <x v="493"/>
    <x v="2"/>
    <x v="383"/>
    <s v="Q4"/>
  </r>
  <r>
    <x v="1"/>
    <s v="Banquet Chicken"/>
    <x v="493"/>
    <x v="6"/>
    <x v="93"/>
    <s v="Q4"/>
  </r>
  <r>
    <x v="7"/>
    <s v="Sun-Pat Peanut Butter"/>
    <x v="494"/>
    <x v="9"/>
    <x v="333"/>
    <s v="Q2"/>
  </r>
  <r>
    <x v="1"/>
    <s v="Zacky Chicken"/>
    <x v="495"/>
    <x v="3"/>
    <x v="286"/>
    <s v="Q1"/>
  </r>
  <r>
    <x v="3"/>
    <s v="Heiniken"/>
    <x v="495"/>
    <x v="2"/>
    <x v="76"/>
    <s v="Q3"/>
  </r>
  <r>
    <x v="6"/>
    <s v="Something Fishy"/>
    <x v="496"/>
    <x v="9"/>
    <x v="299"/>
    <s v="Q1"/>
  </r>
  <r>
    <x v="4"/>
    <s v="Sjora"/>
    <x v="497"/>
    <x v="1"/>
    <x v="320"/>
    <s v="Q2"/>
  </r>
  <r>
    <x v="5"/>
    <s v="Double Dip Sherbet"/>
    <x v="498"/>
    <x v="9"/>
    <x v="56"/>
    <s v="Q3"/>
  </r>
  <r>
    <x v="5"/>
    <s v="Lockets"/>
    <x v="499"/>
    <x v="8"/>
    <x v="367"/>
    <s v="Q1"/>
  </r>
  <r>
    <x v="4"/>
    <s v="PDQ Chocolate"/>
    <x v="500"/>
    <x v="8"/>
    <x v="194"/>
    <s v="Q4"/>
  </r>
  <r>
    <x v="5"/>
    <s v="Nestle Double Berry"/>
    <x v="501"/>
    <x v="9"/>
    <x v="1"/>
    <s v="Q2"/>
  </r>
  <r>
    <x v="6"/>
    <s v="Chicken of the Sea"/>
    <x v="502"/>
    <x v="3"/>
    <x v="128"/>
    <s v="Q1"/>
  </r>
  <r>
    <x v="0"/>
    <s v="Aromat"/>
    <x v="502"/>
    <x v="9"/>
    <x v="384"/>
    <s v="Q4"/>
  </r>
  <r>
    <x v="2"/>
    <s v="Grape Nut Flakes"/>
    <x v="503"/>
    <x v="6"/>
    <x v="8"/>
    <s v="Q3"/>
  </r>
  <r>
    <x v="2"/>
    <s v="Sultana Bran"/>
    <x v="504"/>
    <x v="5"/>
    <x v="102"/>
    <s v="Q3"/>
  </r>
  <r>
    <x v="4"/>
    <s v="Bovril"/>
    <x v="505"/>
    <x v="1"/>
    <x v="164"/>
    <s v="Q3"/>
  </r>
  <r>
    <x v="4"/>
    <s v="Benco Instant Choco Drink"/>
    <x v="506"/>
    <x v="0"/>
    <x v="22"/>
    <s v="Q2"/>
  </r>
  <r>
    <x v="4"/>
    <s v="Gold Spot"/>
    <x v="507"/>
    <x v="0"/>
    <x v="385"/>
    <s v="Q4"/>
  </r>
  <r>
    <x v="2"/>
    <s v="Grape Nut Flakes"/>
    <x v="508"/>
    <x v="5"/>
    <x v="386"/>
    <s v="Q3"/>
  </r>
  <r>
    <x v="7"/>
    <s v="Gale's Curd"/>
    <x v="509"/>
    <x v="0"/>
    <x v="387"/>
    <s v="Q1"/>
  </r>
  <r>
    <x v="2"/>
    <s v="Yog-Active"/>
    <x v="510"/>
    <x v="3"/>
    <x v="388"/>
    <s v="Q1"/>
  </r>
  <r>
    <x v="2"/>
    <s v="Sultana Bran"/>
    <x v="511"/>
    <x v="6"/>
    <x v="389"/>
    <s v="Q2"/>
  </r>
  <r>
    <x v="0"/>
    <s v="Plochman's"/>
    <x v="512"/>
    <x v="5"/>
    <x v="177"/>
    <s v="Q2"/>
  </r>
  <r>
    <x v="1"/>
    <s v="Pepperoni Pit"/>
    <x v="513"/>
    <x v="9"/>
    <x v="390"/>
    <s v="Q2"/>
  </r>
  <r>
    <x v="3"/>
    <s v="Budweiser"/>
    <x v="514"/>
    <x v="7"/>
    <x v="2"/>
    <s v="Q1"/>
  </r>
  <r>
    <x v="4"/>
    <s v="Cravendale"/>
    <x v="515"/>
    <x v="6"/>
    <x v="391"/>
    <s v="Q3"/>
  </r>
  <r>
    <x v="6"/>
    <s v="Jack's Shrimp"/>
    <x v="516"/>
    <x v="6"/>
    <x v="392"/>
    <s v="Q3"/>
  </r>
  <r>
    <x v="4"/>
    <s v="Nutrimato"/>
    <x v="517"/>
    <x v="0"/>
    <x v="393"/>
    <s v="Q3"/>
  </r>
  <r>
    <x v="6"/>
    <s v="Jack's Shrimp"/>
    <x v="518"/>
    <x v="9"/>
    <x v="338"/>
    <s v="Q3"/>
  </r>
  <r>
    <x v="4"/>
    <s v="Milo"/>
    <x v="519"/>
    <x v="2"/>
    <x v="43"/>
    <s v="Q1"/>
  </r>
  <r>
    <x v="5"/>
    <s v="Refreshers Gums"/>
    <x v="520"/>
    <x v="4"/>
    <x v="394"/>
    <s v="Q4"/>
  </r>
  <r>
    <x v="0"/>
    <s v="Mang Tomas"/>
    <x v="521"/>
    <x v="3"/>
    <x v="395"/>
    <s v="Q2"/>
  </r>
  <r>
    <x v="4"/>
    <s v="PDQ Chocolate"/>
    <x v="521"/>
    <x v="3"/>
    <x v="394"/>
    <s v="Q4"/>
  </r>
  <r>
    <x v="2"/>
    <s v="Sultana Bran"/>
    <x v="522"/>
    <x v="4"/>
    <x v="97"/>
    <s v="Q2"/>
  </r>
  <r>
    <x v="7"/>
    <s v="Rose's Marmalade"/>
    <x v="523"/>
    <x v="7"/>
    <x v="396"/>
    <s v="Q3"/>
  </r>
  <r>
    <x v="2"/>
    <s v="Heart to Heart"/>
    <x v="524"/>
    <x v="2"/>
    <x v="397"/>
    <s v="Q2"/>
  </r>
  <r>
    <x v="5"/>
    <s v="Lockets"/>
    <x v="525"/>
    <x v="1"/>
    <x v="10"/>
    <s v="Q3"/>
  </r>
  <r>
    <x v="7"/>
    <s v="Gale's Curd"/>
    <x v="526"/>
    <x v="7"/>
    <x v="331"/>
    <s v="Q3"/>
  </r>
  <r>
    <x v="2"/>
    <s v="Go Lean Cereal (Crunch)"/>
    <x v="527"/>
    <x v="0"/>
    <x v="173"/>
    <s v="Q2"/>
  </r>
  <r>
    <x v="2"/>
    <s v="Granola"/>
    <x v="528"/>
    <x v="5"/>
    <x v="398"/>
    <s v="Q2"/>
  </r>
  <r>
    <x v="2"/>
    <s v="Yog-Active"/>
    <x v="529"/>
    <x v="6"/>
    <x v="230"/>
    <s v="Q4"/>
  </r>
  <r>
    <x v="0"/>
    <s v="Aromat"/>
    <x v="530"/>
    <x v="7"/>
    <x v="31"/>
    <s v="Q4"/>
  </r>
  <r>
    <x v="5"/>
    <s v="Mintolas"/>
    <x v="531"/>
    <x v="4"/>
    <x v="399"/>
    <s v="Q3"/>
  </r>
  <r>
    <x v="2"/>
    <s v="Grape Nut Flakes"/>
    <x v="532"/>
    <x v="7"/>
    <x v="262"/>
    <s v="Q1"/>
  </r>
  <r>
    <x v="4"/>
    <s v="PJ's Smoothies"/>
    <x v="533"/>
    <x v="8"/>
    <x v="400"/>
    <s v="Q2"/>
  </r>
  <r>
    <x v="0"/>
    <s v="Heinz Tomato Ketchup"/>
    <x v="534"/>
    <x v="6"/>
    <x v="246"/>
    <s v="Q2"/>
  </r>
  <r>
    <x v="4"/>
    <s v="Milo"/>
    <x v="535"/>
    <x v="6"/>
    <x v="70"/>
    <s v="Q4"/>
  </r>
  <r>
    <x v="7"/>
    <s v="Country Dale Milk"/>
    <x v="536"/>
    <x v="7"/>
    <x v="42"/>
    <s v="Q1"/>
  </r>
  <r>
    <x v="3"/>
    <s v="Corona"/>
    <x v="536"/>
    <x v="8"/>
    <x v="177"/>
    <s v="Q2"/>
  </r>
  <r>
    <x v="1"/>
    <s v="Banquet Chicken"/>
    <x v="537"/>
    <x v="2"/>
    <x v="286"/>
    <s v="Q1"/>
  </r>
  <r>
    <x v="1"/>
    <s v="Pilgrims Pride"/>
    <x v="537"/>
    <x v="9"/>
    <x v="401"/>
    <s v="Q3"/>
  </r>
  <r>
    <x v="4"/>
    <s v="The Evil Monk"/>
    <x v="538"/>
    <x v="9"/>
    <x v="132"/>
    <s v="Q4"/>
  </r>
  <r>
    <x v="5"/>
    <s v="Bassett's Sour Squirms"/>
    <x v="539"/>
    <x v="1"/>
    <x v="153"/>
    <s v="Q2"/>
  </r>
  <r>
    <x v="3"/>
    <s v="Kentucky Common Beer"/>
    <x v="540"/>
    <x v="6"/>
    <x v="209"/>
    <s v="Q1"/>
  </r>
  <r>
    <x v="5"/>
    <s v="Lockets"/>
    <x v="541"/>
    <x v="4"/>
    <x v="360"/>
    <s v="Q4"/>
  </r>
  <r>
    <x v="4"/>
    <s v="Lipton Brisk"/>
    <x v="542"/>
    <x v="2"/>
    <x v="345"/>
    <s v="Q1"/>
  </r>
  <r>
    <x v="6"/>
    <s v="Chicken of the Sea"/>
    <x v="543"/>
    <x v="0"/>
    <x v="401"/>
    <s v="Q3"/>
  </r>
  <r>
    <x v="2"/>
    <s v="Choco Crunch"/>
    <x v="544"/>
    <x v="1"/>
    <x v="182"/>
    <s v="Q2"/>
  </r>
  <r>
    <x v="4"/>
    <s v="Sjora"/>
    <x v="545"/>
    <x v="5"/>
    <x v="402"/>
    <s v="Q3"/>
  </r>
  <r>
    <x v="2"/>
    <s v="Chocolate Oat Crunch Life"/>
    <x v="545"/>
    <x v="7"/>
    <x v="68"/>
    <s v="Q3"/>
  </r>
  <r>
    <x v="4"/>
    <s v="The Evil Monk"/>
    <x v="546"/>
    <x v="0"/>
    <x v="252"/>
    <s v="Q4"/>
  </r>
  <r>
    <x v="1"/>
    <s v="Pot Pie"/>
    <x v="547"/>
    <x v="5"/>
    <x v="155"/>
    <s v="Q1"/>
  </r>
  <r>
    <x v="2"/>
    <s v="Rice Krispies"/>
    <x v="547"/>
    <x v="6"/>
    <x v="403"/>
    <s v="Q4"/>
  </r>
  <r>
    <x v="4"/>
    <s v="Benco Instant Choco Drink"/>
    <x v="548"/>
    <x v="7"/>
    <x v="404"/>
    <s v="Q4"/>
  </r>
  <r>
    <x v="3"/>
    <s v="Corona"/>
    <x v="549"/>
    <x v="0"/>
    <x v="405"/>
    <s v="Q2"/>
  </r>
  <r>
    <x v="1"/>
    <s v="Zacky Chicken"/>
    <x v="550"/>
    <x v="9"/>
    <x v="110"/>
    <s v="Q4"/>
  </r>
  <r>
    <x v="4"/>
    <s v="Lipton Brisk"/>
    <x v="551"/>
    <x v="3"/>
    <x v="406"/>
    <s v="Q2"/>
  </r>
  <r>
    <x v="4"/>
    <s v="Nutrimato"/>
    <x v="551"/>
    <x v="8"/>
    <x v="6"/>
    <s v="Q2"/>
  </r>
  <r>
    <x v="4"/>
    <s v="Ovaltine"/>
    <x v="552"/>
    <x v="6"/>
    <x v="407"/>
    <s v="Q2"/>
  </r>
  <r>
    <x v="2"/>
    <s v="Buzz Blasts"/>
    <x v="553"/>
    <x v="3"/>
    <x v="382"/>
    <s v="Q3"/>
  </r>
  <r>
    <x v="3"/>
    <s v="Kentucky Common Beer"/>
    <x v="554"/>
    <x v="1"/>
    <x v="236"/>
    <s v="Q4"/>
  </r>
  <r>
    <x v="5"/>
    <s v="McCowans"/>
    <x v="555"/>
    <x v="7"/>
    <x v="321"/>
    <s v="Q1"/>
  </r>
  <r>
    <x v="0"/>
    <s v="French's"/>
    <x v="555"/>
    <x v="6"/>
    <x v="161"/>
    <s v="Q2"/>
  </r>
  <r>
    <x v="4"/>
    <s v="Bovril"/>
    <x v="556"/>
    <x v="9"/>
    <x v="34"/>
    <s v="Q4"/>
  </r>
  <r>
    <x v="2"/>
    <s v="Buzz Blasts"/>
    <x v="557"/>
    <x v="0"/>
    <x v="364"/>
    <s v="Q3"/>
  </r>
  <r>
    <x v="5"/>
    <s v="Gooey Logs"/>
    <x v="558"/>
    <x v="1"/>
    <x v="283"/>
    <s v="Q1"/>
  </r>
  <r>
    <x v="6"/>
    <s v="Fish n Feed"/>
    <x v="559"/>
    <x v="5"/>
    <x v="408"/>
    <s v="Q1"/>
  </r>
  <r>
    <x v="4"/>
    <s v="PDQ Chocolate"/>
    <x v="559"/>
    <x v="0"/>
    <x v="360"/>
    <s v="Q4"/>
  </r>
  <r>
    <x v="5"/>
    <s v="Bassett's Sour Squirms"/>
    <x v="560"/>
    <x v="0"/>
    <x v="409"/>
    <s v="Q1"/>
  </r>
  <r>
    <x v="2"/>
    <s v="Puff"/>
    <x v="561"/>
    <x v="2"/>
    <x v="229"/>
    <s v="Q4"/>
  </r>
  <r>
    <x v="1"/>
    <s v="Banquet Chicken"/>
    <x v="561"/>
    <x v="0"/>
    <x v="354"/>
    <s v="Q4"/>
  </r>
  <r>
    <x v="2"/>
    <s v="Heart to Heart"/>
    <x v="562"/>
    <x v="6"/>
    <x v="218"/>
    <s v="Q3"/>
  </r>
  <r>
    <x v="4"/>
    <s v="Horlicks"/>
    <x v="563"/>
    <x v="7"/>
    <x v="410"/>
    <s v="Q1"/>
  </r>
  <r>
    <x v="0"/>
    <s v="Trappey's Hot Sauce"/>
    <x v="564"/>
    <x v="7"/>
    <x v="8"/>
    <s v="Q3"/>
  </r>
  <r>
    <x v="2"/>
    <s v="Rice Krispies"/>
    <x v="565"/>
    <x v="7"/>
    <x v="395"/>
    <s v="Q2"/>
  </r>
  <r>
    <x v="4"/>
    <s v="Benco Instant Choco Drink"/>
    <x v="565"/>
    <x v="3"/>
    <x v="19"/>
    <s v="Q3"/>
  </r>
  <r>
    <x v="3"/>
    <s v="Corona"/>
    <x v="566"/>
    <x v="6"/>
    <x v="411"/>
    <s v="Q3"/>
  </r>
  <r>
    <x v="2"/>
    <s v="Chocolate Oat Crunch Life"/>
    <x v="567"/>
    <x v="6"/>
    <x v="328"/>
    <s v="Q4"/>
  </r>
  <r>
    <x v="0"/>
    <s v="Aromat"/>
    <x v="568"/>
    <x v="3"/>
    <x v="52"/>
    <s v="Q4"/>
  </r>
  <r>
    <x v="5"/>
    <s v="Fantails"/>
    <x v="569"/>
    <x v="7"/>
    <x v="412"/>
    <s v="Q1"/>
  </r>
  <r>
    <x v="3"/>
    <s v="Corona"/>
    <x v="569"/>
    <x v="1"/>
    <x v="149"/>
    <s v="Q2"/>
  </r>
  <r>
    <x v="3"/>
    <s v="Kentucky Common Beer"/>
    <x v="570"/>
    <x v="4"/>
    <x v="413"/>
    <s v="Q3"/>
  </r>
  <r>
    <x v="1"/>
    <s v="Pepperoni Pit"/>
    <x v="571"/>
    <x v="5"/>
    <x v="264"/>
    <s v="Q2"/>
  </r>
  <r>
    <x v="2"/>
    <s v="Sultana Bran"/>
    <x v="572"/>
    <x v="5"/>
    <x v="241"/>
    <s v="Q1"/>
  </r>
  <r>
    <x v="6"/>
    <s v="Something Fishy"/>
    <x v="573"/>
    <x v="2"/>
    <x v="27"/>
    <s v="Q2"/>
  </r>
  <r>
    <x v="1"/>
    <s v="Banquet Chicken"/>
    <x v="573"/>
    <x v="5"/>
    <x v="270"/>
    <s v="Q4"/>
  </r>
  <r>
    <x v="1"/>
    <s v="Gold n' Plump"/>
    <x v="574"/>
    <x v="5"/>
    <x v="325"/>
    <s v="Q1"/>
  </r>
  <r>
    <x v="3"/>
    <s v="Budweiser"/>
    <x v="575"/>
    <x v="6"/>
    <x v="166"/>
    <s v="Q3"/>
  </r>
  <r>
    <x v="3"/>
    <s v="Blue Nun"/>
    <x v="576"/>
    <x v="8"/>
    <x v="414"/>
    <s v="Q1"/>
  </r>
  <r>
    <x v="4"/>
    <s v="PDQ Chocolate"/>
    <x v="577"/>
    <x v="5"/>
    <x v="415"/>
    <s v="Q1"/>
  </r>
  <r>
    <x v="1"/>
    <s v="Toledano Wings"/>
    <x v="578"/>
    <x v="6"/>
    <x v="260"/>
    <s v="Q2"/>
  </r>
  <r>
    <x v="3"/>
    <s v="Ferrari Spumante"/>
    <x v="578"/>
    <x v="9"/>
    <x v="416"/>
    <s v="Q2"/>
  </r>
  <r>
    <x v="5"/>
    <s v="Wrigley's Chewing Gum"/>
    <x v="579"/>
    <x v="3"/>
    <x v="153"/>
    <s v="Q2"/>
  </r>
  <r>
    <x v="6"/>
    <s v="Lobsters by the Bay"/>
    <x v="580"/>
    <x v="5"/>
    <x v="0"/>
    <s v="Q1"/>
  </r>
  <r>
    <x v="4"/>
    <s v="PJ's Smoothies"/>
    <x v="581"/>
    <x v="3"/>
    <x v="417"/>
    <s v="Q2"/>
  </r>
  <r>
    <x v="6"/>
    <s v="Something Fishy"/>
    <x v="582"/>
    <x v="4"/>
    <x v="418"/>
    <s v="Q4"/>
  </r>
  <r>
    <x v="6"/>
    <s v="Fish n Feed"/>
    <x v="583"/>
    <x v="0"/>
    <x v="115"/>
    <s v="Q2"/>
  </r>
  <r>
    <x v="3"/>
    <s v="Ferrari Spumante"/>
    <x v="584"/>
    <x v="5"/>
    <x v="167"/>
    <s v="Q1"/>
  </r>
  <r>
    <x v="1"/>
    <s v="Gold n' Plump"/>
    <x v="585"/>
    <x v="0"/>
    <x v="419"/>
    <s v="Q1"/>
  </r>
  <r>
    <x v="1"/>
    <s v="Barbers Eggs"/>
    <x v="586"/>
    <x v="2"/>
    <x v="228"/>
    <s v="Q4"/>
  </r>
  <r>
    <x v="4"/>
    <s v="Benco Instant Choco Drink"/>
    <x v="587"/>
    <x v="8"/>
    <x v="240"/>
    <s v="Q1"/>
  </r>
  <r>
    <x v="6"/>
    <s v="Fish n Feed"/>
    <x v="588"/>
    <x v="6"/>
    <x v="420"/>
    <s v="Q4"/>
  </r>
  <r>
    <x v="2"/>
    <s v="Puff"/>
    <x v="589"/>
    <x v="2"/>
    <x v="418"/>
    <s v="Q4"/>
  </r>
  <r>
    <x v="4"/>
    <s v="PJ's Smoothies"/>
    <x v="590"/>
    <x v="1"/>
    <x v="102"/>
    <s v="Q3"/>
  </r>
  <r>
    <x v="4"/>
    <s v="Horlicks"/>
    <x v="591"/>
    <x v="4"/>
    <x v="126"/>
    <s v="Q2"/>
  </r>
  <r>
    <x v="5"/>
    <s v="Fantails"/>
    <x v="592"/>
    <x v="6"/>
    <x v="283"/>
    <s v="Q1"/>
  </r>
  <r>
    <x v="4"/>
    <s v="Bovril"/>
    <x v="593"/>
    <x v="5"/>
    <x v="421"/>
    <s v="Q3"/>
  </r>
  <r>
    <x v="2"/>
    <s v="Bart's Peanut Butter Chocolate Crunch"/>
    <x v="594"/>
    <x v="6"/>
    <x v="422"/>
    <s v="Q1"/>
  </r>
  <r>
    <x v="5"/>
    <s v="McCowans"/>
    <x v="595"/>
    <x v="4"/>
    <x v="331"/>
    <s v="Q3"/>
  </r>
  <r>
    <x v="1"/>
    <s v="Shelton Poultry Produce"/>
    <x v="596"/>
    <x v="6"/>
    <x v="423"/>
    <s v="Q2"/>
  </r>
  <r>
    <x v="2"/>
    <s v="Go Lean Cereal (Crunch)"/>
    <x v="597"/>
    <x v="3"/>
    <x v="7"/>
    <s v="Q3"/>
  </r>
  <r>
    <x v="3"/>
    <s v="Corona"/>
    <x v="598"/>
    <x v="2"/>
    <x v="243"/>
    <s v="Q2"/>
  </r>
  <r>
    <x v="3"/>
    <s v="Carlsberg"/>
    <x v="599"/>
    <x v="8"/>
    <x v="240"/>
    <s v="Q1"/>
  </r>
  <r>
    <x v="3"/>
    <s v="Heiniken"/>
    <x v="600"/>
    <x v="5"/>
    <x v="22"/>
    <s v="Q2"/>
  </r>
  <r>
    <x v="1"/>
    <s v="Zacky Chicken"/>
    <x v="601"/>
    <x v="4"/>
    <x v="424"/>
    <s v="Q2"/>
  </r>
  <r>
    <x v="3"/>
    <s v="Ecco Domani"/>
    <x v="602"/>
    <x v="2"/>
    <x v="425"/>
    <s v="Q2"/>
  </r>
  <r>
    <x v="0"/>
    <s v="Mang Tomas"/>
    <x v="603"/>
    <x v="1"/>
    <x v="82"/>
    <s v="Q2"/>
  </r>
  <r>
    <x v="0"/>
    <s v="Gentleman's Relish"/>
    <x v="604"/>
    <x v="2"/>
    <x v="181"/>
    <s v="Q4"/>
  </r>
  <r>
    <x v="1"/>
    <s v="Zacky Chicken"/>
    <x v="605"/>
    <x v="6"/>
    <x v="274"/>
    <s v="Q1"/>
  </r>
  <r>
    <x v="0"/>
    <s v="French's"/>
    <x v="606"/>
    <x v="5"/>
    <x v="304"/>
    <s v="Q1"/>
  </r>
  <r>
    <x v="1"/>
    <s v="Pepperoni Pit"/>
    <x v="606"/>
    <x v="6"/>
    <x v="426"/>
    <s v="Q4"/>
  </r>
  <r>
    <x v="0"/>
    <s v="Aromat"/>
    <x v="607"/>
    <x v="7"/>
    <x v="427"/>
    <s v="Q1"/>
  </r>
  <r>
    <x v="1"/>
    <s v="Banquet Chicken"/>
    <x v="608"/>
    <x v="6"/>
    <x v="428"/>
    <s v="Q1"/>
  </r>
  <r>
    <x v="4"/>
    <s v="Nutrimato"/>
    <x v="609"/>
    <x v="5"/>
    <x v="89"/>
    <s v="Q3"/>
  </r>
  <r>
    <x v="2"/>
    <s v="Grape Nut Flakes"/>
    <x v="610"/>
    <x v="6"/>
    <x v="429"/>
    <s v="Q1"/>
  </r>
  <r>
    <x v="5"/>
    <s v="Freddo"/>
    <x v="611"/>
    <x v="2"/>
    <x v="430"/>
    <s v="Q2"/>
  </r>
  <r>
    <x v="3"/>
    <s v="Budweiser"/>
    <x v="612"/>
    <x v="6"/>
    <x v="204"/>
    <s v="Q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B766C-38E4-429E-B4C2-61A773E5C66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B106:C111" firstHeaderRow="1" firstDataRow="1" firstDataCol="1"/>
  <pivotFields count="5"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91455-1E0F-4BE4-AF78-B1B7AD688B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5:C119" firstHeaderRow="1" firstDataRow="1" firstDataCol="1"/>
  <pivotFields count="5"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numFmtId="1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E7DDC-8E65-47E9-A0C2-08A4239A685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6:G111" firstHeaderRow="1" firstDataRow="1" firstDataCol="1"/>
  <pivotFields count="5"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BD461-7B32-4B71-849D-23B7EE9438E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C17:D23" firstHeaderRow="1" firstDataRow="1" firstDataCol="1" rowPageCount="1" colPageCount="1"/>
  <pivotFields count="9">
    <pivotField axis="axisPage"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axis="axisRow" showAll="0" measureFilter="1" sortType="descending">
      <items count="82">
        <item x="66"/>
        <item x="2"/>
        <item x="57"/>
        <item x="21"/>
        <item x="32"/>
        <item x="11"/>
        <item x="52"/>
        <item x="78"/>
        <item x="18"/>
        <item x="40"/>
        <item x="45"/>
        <item x="58"/>
        <item x="12"/>
        <item x="56"/>
        <item x="42"/>
        <item x="28"/>
        <item x="71"/>
        <item x="43"/>
        <item x="29"/>
        <item x="67"/>
        <item x="16"/>
        <item x="46"/>
        <item x="10"/>
        <item x="48"/>
        <item x="41"/>
        <item x="53"/>
        <item x="60"/>
        <item x="0"/>
        <item x="31"/>
        <item x="76"/>
        <item x="51"/>
        <item x="47"/>
        <item x="24"/>
        <item x="63"/>
        <item x="19"/>
        <item x="59"/>
        <item x="70"/>
        <item x="4"/>
        <item x="8"/>
        <item x="39"/>
        <item x="14"/>
        <item x="49"/>
        <item x="20"/>
        <item x="38"/>
        <item x="26"/>
        <item x="34"/>
        <item x="36"/>
        <item x="69"/>
        <item x="3"/>
        <item x="33"/>
        <item x="55"/>
        <item x="50"/>
        <item x="23"/>
        <item x="65"/>
        <item x="80"/>
        <item x="27"/>
        <item x="74"/>
        <item x="22"/>
        <item x="25"/>
        <item x="35"/>
        <item x="54"/>
        <item x="30"/>
        <item x="37"/>
        <item x="64"/>
        <item x="13"/>
        <item x="77"/>
        <item x="73"/>
        <item x="44"/>
        <item x="17"/>
        <item x="1"/>
        <item x="9"/>
        <item x="15"/>
        <item x="6"/>
        <item x="72"/>
        <item x="75"/>
        <item x="79"/>
        <item x="7"/>
        <item x="5"/>
        <item x="61"/>
        <item x="62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57"/>
    </i>
    <i>
      <x v="32"/>
    </i>
    <i>
      <x v="42"/>
    </i>
    <i>
      <x v="55"/>
    </i>
    <i>
      <x v="75"/>
    </i>
    <i t="grand">
      <x/>
    </i>
  </rowItems>
  <colItems count="1">
    <i/>
  </colItems>
  <pageFields count="1">
    <pageField fld="0" item="0" hier="-1"/>
  </pageFields>
  <dataFields count="1">
    <dataField name="Revenue" fld="2" baseField="0" baseItem="0"/>
  </dataFields>
  <formats count="1">
    <format dxfId="9">
      <pivotArea collapsedLevelsAreSubtotals="1" fieldPosition="0">
        <references count="1">
          <reference field="1" count="5">
            <x v="32"/>
            <x v="42"/>
            <x v="55"/>
            <x v="57"/>
            <x v="7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D6BCF-DBC2-4C8D-A181-FB4355A97B06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C3:D12" firstHeaderRow="1" firstDataRow="1" firstDataCol="1"/>
  <pivotFields count="9">
    <pivotField axis="axisRow"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dataField="1" showAll="0"/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2" baseField="0" baseItem="0"/>
  </dataFields>
  <formats count="1">
    <format dxfId="1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44E62-CBA1-4C97-9619-7A90B9661B8F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3:H46" firstHeaderRow="0" firstDataRow="1" firstDataCol="1" rowPageCount="1" colPageCount="1"/>
  <pivotFields count="9">
    <pivotField axis="axisPage"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dataField="1" showAll="0"/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axis="axisRow" multipleItemSelectionAllowed="1" showAll="0">
      <items count="5">
        <item h="1" x="0"/>
        <item h="1" x="1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6" hier="-1"/>
  </pageFields>
  <dataFields count="5">
    <dataField name="Sum of Sales" fld="2" baseField="0" baseItem="0"/>
    <dataField name="Average of Sales2" fld="2" subtotal="average" baseField="5" baseItem="2"/>
    <dataField name="Min of Sales2" fld="2" subtotal="min" baseField="5" baseItem="2"/>
    <dataField name="Count of Sales2" fld="2" subtotal="count" baseField="5" baseItem="2"/>
    <dataField name="Max of Sales2" fld="2" subtotal="max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8CDF4-9629-4572-91FF-09936DD30F74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H38" firstHeaderRow="1" firstDataRow="2" firstDataCol="1"/>
  <pivotFields count="9">
    <pivotField axis="axisRow"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dataField="1" showAll="0"/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A62A1-C0DD-4D6A-8395-F32E7EED1033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ange">
  <location ref="J34:K41" firstHeaderRow="1" firstDataRow="1" firstDataCol="1"/>
  <pivotFields count="10">
    <pivotField dataField="1"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tego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D3CD3-39DB-4DB6-96E9-27F866EAE78B}" name="PivotTable8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Categories">
  <location ref="C34:D44" firstHeaderRow="1" firstDataRow="1" firstDataCol="1"/>
  <pivotFields count="10">
    <pivotField axis="axisRow" showAll="0" sortType="ascending">
      <items count="9">
        <item x="4"/>
        <item x="0"/>
        <item x="5"/>
        <item x="7"/>
        <item x="2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axis="axisRow" showAll="0">
      <items count="8">
        <item sd="0" x="4"/>
        <item sd="0" x="0"/>
        <item sd="0" x="5"/>
        <item n="Others" x="6"/>
        <item sd="0" x="2"/>
        <item sd="0" x="1"/>
        <item sd="0" x="3"/>
        <item t="default" sd="0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6"/>
    <field x="0"/>
  </rowFields>
  <rowItems count="10">
    <i>
      <x/>
    </i>
    <i>
      <x v="1"/>
    </i>
    <i>
      <x v="2"/>
    </i>
    <i>
      <x v="3"/>
    </i>
    <i r="1">
      <x v="3"/>
    </i>
    <i r="1">
      <x v="6"/>
    </i>
    <i>
      <x v="4"/>
    </i>
    <i>
      <x v="5"/>
    </i>
    <i>
      <x v="6"/>
    </i>
    <i t="grand">
      <x/>
    </i>
  </rowItems>
  <colItems count="1">
    <i/>
  </colItems>
  <dataFields count="1">
    <dataField name="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61A72-0798-4905-B08C-E630957F13ED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C50:D63" firstHeaderRow="1" firstDataRow="1" firstDataCol="1"/>
  <pivotFields count="10">
    <pivotField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2" baseField="7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FFAB6-D1FB-497A-8F8E-4D4BC4B82AD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2:F162" firstHeaderRow="1" firstDataRow="2" firstDataCol="1"/>
  <pivotFields count="10">
    <pivotField axis="axisRow" subtotalTop="0" showAll="0">
      <items count="9">
        <item sd="0" x="4"/>
        <item sd="0" x="0"/>
        <item sd="0" x="5"/>
        <item sd="0" x="7"/>
        <item sd="0" x="2"/>
        <item sd="0" x="1"/>
        <item sd="0" x="6"/>
        <item sd="0" x="3"/>
        <item t="default" sd="0"/>
      </items>
    </pivotField>
    <pivotField subtotalTop="0" showAll="0"/>
    <pivotField dataField="1" subtotalTop="0" showAll="0"/>
    <pivotField axis="axisRow" subtotalTop="0" showAll="0">
      <items count="11">
        <item x="6"/>
        <item x="4"/>
        <item x="5"/>
        <item x="2"/>
        <item x="3"/>
        <item x="9"/>
        <item x="7"/>
        <item x="8"/>
        <item x="1"/>
        <item x="0"/>
        <item t="default"/>
      </items>
    </pivotField>
    <pivotField numFmtId="14" subtotalTop="0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ubtotalTop="0" showAll="0"/>
    <pivotField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axis="axisCol" subtotalTop="0" showAll="0">
      <items count="5">
        <item x="0"/>
        <item x="1"/>
        <item x="2"/>
        <item x="3"/>
        <item t="default"/>
      </items>
    </pivotField>
  </pivotFields>
  <rowFields count="2">
    <field x="0"/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3"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9F1E3-1968-458A-8918-14A79DF7FA2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C135:F148" firstHeaderRow="0" firstDataRow="1" firstDataCol="1"/>
  <pivotFields count="9">
    <pivotField showAll="0"/>
    <pivotField showAll="0"/>
    <pivotField dataField="1" showAll="0"/>
    <pivotField showAll="0"/>
    <pivotField numFmtId="14" showAll="0">
      <items count="432">
        <item x="274"/>
        <item x="191"/>
        <item x="211"/>
        <item x="49"/>
        <item x="415"/>
        <item x="365"/>
        <item x="268"/>
        <item x="262"/>
        <item x="155"/>
        <item x="419"/>
        <item x="165"/>
        <item x="410"/>
        <item x="345"/>
        <item x="317"/>
        <item x="136"/>
        <item x="290"/>
        <item x="18"/>
        <item x="368"/>
        <item x="67"/>
        <item x="37"/>
        <item x="261"/>
        <item x="427"/>
        <item x="310"/>
        <item x="112"/>
        <item x="104"/>
        <item x="80"/>
        <item x="172"/>
        <item x="94"/>
        <item x="103"/>
        <item x="299"/>
        <item x="192"/>
        <item x="160"/>
        <item x="17"/>
        <item x="283"/>
        <item x="209"/>
        <item x="141"/>
        <item x="314"/>
        <item x="171"/>
        <item x="414"/>
        <item x="215"/>
        <item x="346"/>
        <item x="422"/>
        <item x="321"/>
        <item x="300"/>
        <item x="117"/>
        <item x="428"/>
        <item x="311"/>
        <item x="304"/>
        <item x="277"/>
        <item x="1"/>
        <item x="27"/>
        <item x="309"/>
        <item x="124"/>
        <item x="361"/>
        <item x="59"/>
        <item x="105"/>
        <item x="180"/>
        <item x="44"/>
        <item x="350"/>
        <item x="405"/>
        <item x="22"/>
        <item x="416"/>
        <item x="90"/>
        <item x="320"/>
        <item x="115"/>
        <item x="201"/>
        <item x="322"/>
        <item x="430"/>
        <item x="177"/>
        <item x="243"/>
        <item x="125"/>
        <item x="370"/>
        <item x="139"/>
        <item x="100"/>
        <item x="26"/>
        <item x="131"/>
        <item x="323"/>
        <item x="33"/>
        <item x="185"/>
        <item x="75"/>
        <item x="208"/>
        <item x="149"/>
        <item x="79"/>
        <item x="351"/>
        <item x="260"/>
        <item x="148"/>
        <item x="425"/>
        <item x="276"/>
        <item x="423"/>
        <item x="334"/>
        <item x="97"/>
        <item x="327"/>
        <item x="158"/>
        <item x="398"/>
        <item x="140"/>
        <item x="246"/>
        <item x="189"/>
        <item x="114"/>
        <item x="389"/>
        <item x="193"/>
        <item x="280"/>
        <item x="333"/>
        <item x="343"/>
        <item x="156"/>
        <item x="395"/>
        <item x="161"/>
        <item x="224"/>
        <item x="116"/>
        <item x="381"/>
        <item x="147"/>
        <item x="46"/>
        <item x="278"/>
        <item x="399"/>
        <item x="391"/>
        <item x="76"/>
        <item x="102"/>
        <item x="316"/>
        <item x="293"/>
        <item x="66"/>
        <item x="421"/>
        <item x="202"/>
        <item x="218"/>
        <item x="225"/>
        <item x="247"/>
        <item x="392"/>
        <item x="50"/>
        <item x="233"/>
        <item x="61"/>
        <item x="168"/>
        <item x="188"/>
        <item x="212"/>
        <item x="331"/>
        <item x="109"/>
        <item x="374"/>
        <item x="7"/>
        <item x="134"/>
        <item x="338"/>
        <item x="219"/>
        <item x="364"/>
        <item x="223"/>
        <item x="159"/>
        <item x="187"/>
        <item x="83"/>
        <item x="287"/>
        <item x="163"/>
        <item x="13"/>
        <item x="379"/>
        <item x="337"/>
        <item x="164"/>
        <item x="288"/>
        <item x="166"/>
        <item x="267"/>
        <item x="119"/>
        <item x="353"/>
        <item x="301"/>
        <item x="210"/>
        <item x="203"/>
        <item x="21"/>
        <item x="372"/>
        <item x="418"/>
        <item x="230"/>
        <item x="352"/>
        <item x="265"/>
        <item x="394"/>
        <item x="9"/>
        <item x="340"/>
        <item x="366"/>
        <item x="378"/>
        <item x="263"/>
        <item x="229"/>
        <item x="198"/>
        <item x="200"/>
        <item x="270"/>
        <item x="205"/>
        <item x="328"/>
        <item x="183"/>
        <item x="348"/>
        <item x="289"/>
        <item x="426"/>
        <item x="377"/>
        <item x="360"/>
        <item x="88"/>
        <item x="194"/>
        <item x="142"/>
        <item x="291"/>
        <item x="38"/>
        <item x="99"/>
        <item x="39"/>
        <item x="383"/>
        <item x="363"/>
        <item x="369"/>
        <item x="132"/>
        <item x="385"/>
        <item x="110"/>
        <item x="77"/>
        <item x="312"/>
        <item x="29"/>
        <item x="297"/>
        <item x="51"/>
        <item x="92"/>
        <item x="162"/>
        <item x="234"/>
        <item x="174"/>
        <item x="152"/>
        <item x="20"/>
        <item x="58"/>
        <item x="373"/>
        <item x="86"/>
        <item x="118"/>
        <item x="5"/>
        <item x="235"/>
        <item x="244"/>
        <item x="42"/>
        <item x="47"/>
        <item x="241"/>
        <item x="242"/>
        <item x="96"/>
        <item x="408"/>
        <item x="78"/>
        <item x="151"/>
        <item x="14"/>
        <item x="388"/>
        <item x="286"/>
        <item x="232"/>
        <item x="69"/>
        <item x="87"/>
        <item x="330"/>
        <item x="240"/>
        <item x="60"/>
        <item x="35"/>
        <item x="2"/>
        <item x="375"/>
        <item x="237"/>
        <item x="429"/>
        <item x="41"/>
        <item x="123"/>
        <item x="54"/>
        <item x="108"/>
        <item x="409"/>
        <item x="167"/>
        <item x="367"/>
        <item x="53"/>
        <item x="307"/>
        <item x="72"/>
        <item x="313"/>
        <item x="221"/>
        <item x="0"/>
        <item x="137"/>
        <item x="231"/>
        <item x="412"/>
        <item x="206"/>
        <item x="257"/>
        <item x="325"/>
        <item x="216"/>
        <item x="12"/>
        <item x="128"/>
        <item x="122"/>
        <item x="43"/>
        <item x="387"/>
        <item x="308"/>
        <item x="113"/>
        <item x="143"/>
        <item x="32"/>
        <item x="6"/>
        <item x="342"/>
        <item x="295"/>
        <item x="294"/>
        <item x="254"/>
        <item x="130"/>
        <item x="73"/>
        <item x="182"/>
        <item x="255"/>
        <item x="417"/>
        <item x="258"/>
        <item x="306"/>
        <item x="173"/>
        <item x="256"/>
        <item x="55"/>
        <item x="120"/>
        <item x="264"/>
        <item x="380"/>
        <item x="126"/>
        <item x="269"/>
        <item x="121"/>
        <item x="30"/>
        <item x="214"/>
        <item x="133"/>
        <item x="129"/>
        <item x="71"/>
        <item x="222"/>
        <item x="251"/>
        <item x="326"/>
        <item x="11"/>
        <item x="145"/>
        <item x="65"/>
        <item x="397"/>
        <item x="176"/>
        <item x="24"/>
        <item x="349"/>
        <item x="356"/>
        <item x="315"/>
        <item x="424"/>
        <item x="406"/>
        <item x="16"/>
        <item x="178"/>
        <item x="153"/>
        <item x="400"/>
        <item x="154"/>
        <item x="82"/>
        <item x="253"/>
        <item x="371"/>
        <item x="319"/>
        <item x="98"/>
        <item x="150"/>
        <item x="359"/>
        <item x="157"/>
        <item x="273"/>
        <item x="64"/>
        <item x="407"/>
        <item x="238"/>
        <item x="390"/>
        <item x="302"/>
        <item x="332"/>
        <item x="195"/>
        <item x="199"/>
        <item x="303"/>
        <item x="127"/>
        <item x="95"/>
        <item x="402"/>
        <item x="48"/>
        <item x="204"/>
        <item x="282"/>
        <item x="213"/>
        <item x="186"/>
        <item x="220"/>
        <item x="248"/>
        <item x="376"/>
        <item x="19"/>
        <item x="245"/>
        <item x="239"/>
        <item x="68"/>
        <item x="10"/>
        <item x="279"/>
        <item x="226"/>
        <item x="386"/>
        <item x="197"/>
        <item x="411"/>
        <item x="347"/>
        <item x="56"/>
        <item x="190"/>
        <item x="106"/>
        <item x="298"/>
        <item x="281"/>
        <item x="249"/>
        <item x="227"/>
        <item x="335"/>
        <item x="344"/>
        <item x="169"/>
        <item x="401"/>
        <item x="358"/>
        <item x="296"/>
        <item x="135"/>
        <item x="259"/>
        <item x="144"/>
        <item x="8"/>
        <item x="138"/>
        <item x="91"/>
        <item x="250"/>
        <item x="89"/>
        <item x="318"/>
        <item x="81"/>
        <item x="170"/>
        <item x="175"/>
        <item x="329"/>
        <item x="396"/>
        <item x="284"/>
        <item x="393"/>
        <item x="74"/>
        <item x="382"/>
        <item x="146"/>
        <item x="357"/>
        <item x="413"/>
        <item x="355"/>
        <item x="285"/>
        <item x="252"/>
        <item x="31"/>
        <item x="23"/>
        <item x="93"/>
        <item x="101"/>
        <item x="275"/>
        <item x="217"/>
        <item x="52"/>
        <item x="292"/>
        <item x="4"/>
        <item x="84"/>
        <item x="336"/>
        <item x="111"/>
        <item x="36"/>
        <item x="107"/>
        <item x="266"/>
        <item x="271"/>
        <item x="341"/>
        <item x="324"/>
        <item x="196"/>
        <item x="384"/>
        <item x="62"/>
        <item x="272"/>
        <item x="3"/>
        <item x="236"/>
        <item x="403"/>
        <item x="25"/>
        <item x="305"/>
        <item x="207"/>
        <item x="179"/>
        <item x="420"/>
        <item x="45"/>
        <item x="63"/>
        <item x="184"/>
        <item x="362"/>
        <item x="339"/>
        <item x="85"/>
        <item x="34"/>
        <item x="70"/>
        <item x="228"/>
        <item x="57"/>
        <item x="15"/>
        <item x="354"/>
        <item x="404"/>
        <item x="181"/>
        <item x="28"/>
        <item x="4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2" baseField="0" baseItem="0"/>
    <dataField name="Sales Change" fld="2" showDataAs="difference" baseField="6" baseItem="1048828"/>
    <dataField name="Sum of Sales" fld="2" showDataAs="percentDiff" baseField="6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4F1B9-C5DA-4BAE-A009-72344F4A30BA}" name="Table1" displayName="Table1" ref="D114:E125" totalsRowShown="0" headerRowDxfId="3" headerRowBorderDxfId="7" tableBorderDxfId="8" totalsRowBorderDxfId="6">
  <autoFilter ref="D114:E125" xr:uid="{AD44F1B9-C5DA-4BAE-A009-72344F4A30BA}"/>
  <tableColumns count="2">
    <tableColumn id="1" xr3:uid="{D61F6158-2D66-4C4F-8764-6F7BD1D8D071}" name="Months" dataDxfId="5"/>
    <tableColumn id="2" xr3:uid="{D5674B9D-F309-45DC-9A09-6B8647381446}" name="Sales($M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FAA1-9536-4035-AD24-09CEE39E1256}">
  <dimension ref="B2:T199"/>
  <sheetViews>
    <sheetView topLeftCell="A185" zoomScale="129" zoomScaleNormal="130" workbookViewId="0">
      <selection activeCell="C197" sqref="C184:C197"/>
    </sheetView>
  </sheetViews>
  <sheetFormatPr defaultRowHeight="14.4" x14ac:dyDescent="0.3"/>
  <cols>
    <col min="2" max="2" width="13.33203125" bestFit="1" customWidth="1"/>
    <col min="3" max="3" width="27.77734375" customWidth="1"/>
    <col min="4" max="4" width="28.88671875" customWidth="1"/>
    <col min="5" max="5" width="30.44140625" customWidth="1"/>
    <col min="6" max="6" width="11.44140625" bestFit="1" customWidth="1"/>
    <col min="7" max="7" width="18.44140625" customWidth="1"/>
    <col min="8" max="8" width="17" customWidth="1"/>
    <col min="10" max="10" width="14.44140625" customWidth="1"/>
  </cols>
  <sheetData>
    <row r="2" spans="2:4" ht="18" x14ac:dyDescent="0.35">
      <c r="B2" s="5">
        <v>45894</v>
      </c>
      <c r="C2" s="4"/>
      <c r="D2" s="4"/>
    </row>
    <row r="5" spans="2:4" x14ac:dyDescent="0.3">
      <c r="B5" s="6" t="s">
        <v>0</v>
      </c>
    </row>
    <row r="6" spans="2:4" x14ac:dyDescent="0.3">
      <c r="C6" t="s">
        <v>1</v>
      </c>
    </row>
    <row r="7" spans="2:4" x14ac:dyDescent="0.3">
      <c r="C7" t="s">
        <v>2</v>
      </c>
    </row>
    <row r="8" spans="2:4" x14ac:dyDescent="0.3">
      <c r="C8" t="s">
        <v>3</v>
      </c>
    </row>
    <row r="9" spans="2:4" x14ac:dyDescent="0.3">
      <c r="C9" t="s">
        <v>4</v>
      </c>
    </row>
    <row r="10" spans="2:4" x14ac:dyDescent="0.3">
      <c r="C10" t="s">
        <v>5</v>
      </c>
    </row>
    <row r="11" spans="2:4" x14ac:dyDescent="0.3">
      <c r="C11" t="s">
        <v>6</v>
      </c>
    </row>
    <row r="12" spans="2:4" x14ac:dyDescent="0.3">
      <c r="D12" t="s">
        <v>7</v>
      </c>
    </row>
    <row r="13" spans="2:4" x14ac:dyDescent="0.3">
      <c r="D13" t="s">
        <v>8</v>
      </c>
    </row>
    <row r="14" spans="2:4" x14ac:dyDescent="0.3">
      <c r="D14" t="s">
        <v>9</v>
      </c>
    </row>
    <row r="15" spans="2:4" x14ac:dyDescent="0.3">
      <c r="D15" t="s">
        <v>10</v>
      </c>
    </row>
    <row r="16" spans="2:4" x14ac:dyDescent="0.3">
      <c r="D16" t="s">
        <v>11</v>
      </c>
    </row>
    <row r="17" spans="3:4" x14ac:dyDescent="0.3">
      <c r="D17" t="s">
        <v>12</v>
      </c>
    </row>
    <row r="18" spans="3:4" x14ac:dyDescent="0.3">
      <c r="D18" t="s">
        <v>13</v>
      </c>
    </row>
    <row r="19" spans="3:4" x14ac:dyDescent="0.3">
      <c r="D19" t="s">
        <v>14</v>
      </c>
    </row>
    <row r="20" spans="3:4" x14ac:dyDescent="0.3">
      <c r="C20" t="s">
        <v>15</v>
      </c>
    </row>
    <row r="21" spans="3:4" x14ac:dyDescent="0.3">
      <c r="C21" t="s">
        <v>16</v>
      </c>
    </row>
    <row r="22" spans="3:4" x14ac:dyDescent="0.3">
      <c r="C22" t="s">
        <v>17</v>
      </c>
    </row>
    <row r="23" spans="3:4" x14ac:dyDescent="0.3">
      <c r="C23" t="s">
        <v>18</v>
      </c>
    </row>
    <row r="24" spans="3:4" x14ac:dyDescent="0.3">
      <c r="C24" t="s">
        <v>19</v>
      </c>
    </row>
    <row r="25" spans="3:4" x14ac:dyDescent="0.3">
      <c r="C25" t="s">
        <v>20</v>
      </c>
    </row>
    <row r="26" spans="3:4" x14ac:dyDescent="0.3">
      <c r="C26" t="s">
        <v>21</v>
      </c>
    </row>
    <row r="27" spans="3:4" x14ac:dyDescent="0.3">
      <c r="C27" t="s">
        <v>22</v>
      </c>
    </row>
    <row r="28" spans="3:4" x14ac:dyDescent="0.3">
      <c r="C28" t="s">
        <v>23</v>
      </c>
    </row>
    <row r="29" spans="3:4" x14ac:dyDescent="0.3">
      <c r="D29" t="s">
        <v>24</v>
      </c>
    </row>
    <row r="30" spans="3:4" x14ac:dyDescent="0.3">
      <c r="C30" t="s">
        <v>25</v>
      </c>
    </row>
    <row r="31" spans="3:4" x14ac:dyDescent="0.3">
      <c r="C31" t="s">
        <v>26</v>
      </c>
    </row>
    <row r="32" spans="3:4" x14ac:dyDescent="0.3">
      <c r="D32" t="s">
        <v>27</v>
      </c>
    </row>
    <row r="33" spans="2:20" x14ac:dyDescent="0.3">
      <c r="D33" t="s">
        <v>28</v>
      </c>
    </row>
    <row r="34" spans="2:20" x14ac:dyDescent="0.3">
      <c r="D34" t="s">
        <v>29</v>
      </c>
    </row>
    <row r="35" spans="2:20" x14ac:dyDescent="0.3">
      <c r="D35" t="s">
        <v>30</v>
      </c>
    </row>
    <row r="36" spans="2:20" x14ac:dyDescent="0.3">
      <c r="D36" t="s">
        <v>31</v>
      </c>
    </row>
    <row r="39" spans="2:20" x14ac:dyDescent="0.3">
      <c r="B39" s="2" t="s">
        <v>32</v>
      </c>
      <c r="C39" s="3"/>
      <c r="I39" s="8" t="s">
        <v>36</v>
      </c>
    </row>
    <row r="40" spans="2:20" x14ac:dyDescent="0.3">
      <c r="J40" t="s">
        <v>37</v>
      </c>
    </row>
    <row r="41" spans="2:20" x14ac:dyDescent="0.3">
      <c r="C41" t="s">
        <v>33</v>
      </c>
    </row>
    <row r="42" spans="2:20" x14ac:dyDescent="0.3">
      <c r="D42" s="7" t="s">
        <v>35</v>
      </c>
      <c r="J42" s="9" t="s">
        <v>38</v>
      </c>
      <c r="K42" t="s">
        <v>49</v>
      </c>
      <c r="N42" s="9" t="s">
        <v>47</v>
      </c>
      <c r="O42" t="s">
        <v>50</v>
      </c>
      <c r="T42" s="1" t="s">
        <v>38</v>
      </c>
    </row>
    <row r="43" spans="2:20" x14ac:dyDescent="0.3">
      <c r="D43" s="7" t="s">
        <v>34</v>
      </c>
      <c r="J43" s="10" t="s">
        <v>39</v>
      </c>
      <c r="L43" t="s">
        <v>45</v>
      </c>
      <c r="N43" s="10">
        <v>2963</v>
      </c>
      <c r="T43">
        <v>0</v>
      </c>
    </row>
    <row r="44" spans="2:20" x14ac:dyDescent="0.3">
      <c r="J44" s="10" t="s">
        <v>40</v>
      </c>
      <c r="L44" t="s">
        <v>46</v>
      </c>
      <c r="N44" s="10">
        <v>3618</v>
      </c>
      <c r="P44" t="s">
        <v>52</v>
      </c>
      <c r="T44">
        <v>1</v>
      </c>
    </row>
    <row r="45" spans="2:20" x14ac:dyDescent="0.3">
      <c r="C45" t="s">
        <v>53</v>
      </c>
      <c r="J45" s="10" t="s">
        <v>41</v>
      </c>
      <c r="N45" s="10">
        <v>2359</v>
      </c>
      <c r="P45" t="s">
        <v>51</v>
      </c>
      <c r="T45">
        <v>-1</v>
      </c>
    </row>
    <row r="46" spans="2:20" x14ac:dyDescent="0.3">
      <c r="C46" t="s">
        <v>54</v>
      </c>
      <c r="J46" s="10" t="s">
        <v>39</v>
      </c>
      <c r="N46" s="10">
        <v>4588</v>
      </c>
      <c r="T46">
        <v>0</v>
      </c>
    </row>
    <row r="47" spans="2:20" x14ac:dyDescent="0.3">
      <c r="J47" s="10" t="s">
        <v>39</v>
      </c>
      <c r="N47" s="10">
        <v>4807</v>
      </c>
      <c r="T47">
        <v>0</v>
      </c>
    </row>
    <row r="48" spans="2:20" x14ac:dyDescent="0.3">
      <c r="C48" t="s">
        <v>55</v>
      </c>
      <c r="J48" s="10" t="s">
        <v>39</v>
      </c>
      <c r="N48" s="10">
        <v>3679</v>
      </c>
      <c r="T48">
        <v>0</v>
      </c>
    </row>
    <row r="49" spans="2:20" x14ac:dyDescent="0.3">
      <c r="D49" t="s">
        <v>56</v>
      </c>
      <c r="J49" s="10" t="s">
        <v>40</v>
      </c>
      <c r="N49" s="10">
        <v>4344</v>
      </c>
      <c r="T49">
        <v>0</v>
      </c>
    </row>
    <row r="50" spans="2:20" x14ac:dyDescent="0.3">
      <c r="D50" t="s">
        <v>57</v>
      </c>
      <c r="J50" s="10" t="s">
        <v>40</v>
      </c>
      <c r="N50" s="10">
        <v>4627</v>
      </c>
      <c r="T50">
        <v>-1</v>
      </c>
    </row>
    <row r="51" spans="2:20" x14ac:dyDescent="0.3">
      <c r="D51" t="s">
        <v>58</v>
      </c>
      <c r="J51" s="10" t="s">
        <v>42</v>
      </c>
      <c r="N51" s="10" t="s">
        <v>43</v>
      </c>
      <c r="T51">
        <v>1</v>
      </c>
    </row>
    <row r="52" spans="2:20" x14ac:dyDescent="0.3">
      <c r="D52" t="s">
        <v>59</v>
      </c>
      <c r="J52" s="10" t="s">
        <v>43</v>
      </c>
      <c r="N52" s="10" t="s">
        <v>48</v>
      </c>
      <c r="T52">
        <v>1</v>
      </c>
    </row>
    <row r="53" spans="2:20" x14ac:dyDescent="0.3">
      <c r="J53" t="s">
        <v>44</v>
      </c>
      <c r="N53" t="s">
        <v>44</v>
      </c>
      <c r="T53" t="s">
        <v>42</v>
      </c>
    </row>
    <row r="55" spans="2:20" x14ac:dyDescent="0.3">
      <c r="B55" s="2" t="s">
        <v>60</v>
      </c>
      <c r="C55" s="3"/>
    </row>
    <row r="57" spans="2:20" x14ac:dyDescent="0.3">
      <c r="C57" t="s">
        <v>61</v>
      </c>
      <c r="I57" s="8" t="s">
        <v>67</v>
      </c>
    </row>
    <row r="58" spans="2:20" x14ac:dyDescent="0.3">
      <c r="D58" t="s">
        <v>62</v>
      </c>
      <c r="I58" s="14">
        <v>100</v>
      </c>
    </row>
    <row r="61" spans="2:20" x14ac:dyDescent="0.3">
      <c r="C61" s="9" t="s">
        <v>47</v>
      </c>
      <c r="E61" s="9" t="s">
        <v>47</v>
      </c>
      <c r="G61" s="9" t="s">
        <v>47</v>
      </c>
      <c r="I61" s="12" t="s">
        <v>64</v>
      </c>
    </row>
    <row r="62" spans="2:20" x14ac:dyDescent="0.3">
      <c r="C62" s="10">
        <v>897</v>
      </c>
      <c r="E62" s="10">
        <v>897</v>
      </c>
      <c r="G62" s="11">
        <v>897</v>
      </c>
    </row>
    <row r="63" spans="2:20" x14ac:dyDescent="0.3">
      <c r="C63" s="10">
        <v>5568</v>
      </c>
      <c r="E63" s="10" t="s">
        <v>63</v>
      </c>
      <c r="G63" s="11">
        <v>5568</v>
      </c>
    </row>
    <row r="66" spans="2:9" x14ac:dyDescent="0.3">
      <c r="C66" s="9" t="s">
        <v>47</v>
      </c>
      <c r="E66" s="9" t="s">
        <v>47</v>
      </c>
      <c r="G66" s="9" t="s">
        <v>47</v>
      </c>
    </row>
    <row r="67" spans="2:9" x14ac:dyDescent="0.3">
      <c r="C67" s="10">
        <v>897</v>
      </c>
      <c r="E67" s="10">
        <v>897</v>
      </c>
      <c r="G67" s="13">
        <v>897</v>
      </c>
      <c r="I67" s="12" t="s">
        <v>66</v>
      </c>
    </row>
    <row r="68" spans="2:9" x14ac:dyDescent="0.3">
      <c r="C68" s="10">
        <v>5568</v>
      </c>
      <c r="E68" s="10" t="s">
        <v>63</v>
      </c>
      <c r="G68" s="13">
        <v>5568</v>
      </c>
    </row>
    <row r="69" spans="2:9" x14ac:dyDescent="0.3">
      <c r="C69" s="10">
        <v>8790654</v>
      </c>
      <c r="E69" s="10" t="s">
        <v>65</v>
      </c>
      <c r="G69" s="13">
        <v>8790654</v>
      </c>
    </row>
    <row r="70" spans="2:9" x14ac:dyDescent="0.3">
      <c r="G70" s="16"/>
    </row>
    <row r="71" spans="2:9" x14ac:dyDescent="0.3">
      <c r="G71" s="16"/>
    </row>
    <row r="72" spans="2:9" x14ac:dyDescent="0.3">
      <c r="B72" s="2" t="s">
        <v>69</v>
      </c>
      <c r="C72" s="3"/>
      <c r="D72" s="3"/>
      <c r="G72" s="16"/>
    </row>
    <row r="73" spans="2:9" x14ac:dyDescent="0.3">
      <c r="G73" s="16"/>
    </row>
    <row r="75" spans="2:9" x14ac:dyDescent="0.3">
      <c r="C75" s="9" t="s">
        <v>47</v>
      </c>
      <c r="E75" s="9" t="s">
        <v>47</v>
      </c>
      <c r="G75" s="9" t="s">
        <v>47</v>
      </c>
    </row>
    <row r="76" spans="2:9" x14ac:dyDescent="0.3">
      <c r="C76" s="10">
        <v>897</v>
      </c>
      <c r="E76" s="10">
        <v>897</v>
      </c>
      <c r="G76" s="10">
        <v>897</v>
      </c>
    </row>
    <row r="77" spans="2:9" x14ac:dyDescent="0.3">
      <c r="C77" s="10">
        <v>5568</v>
      </c>
      <c r="E77" s="10" t="s">
        <v>63</v>
      </c>
      <c r="G77" s="10">
        <v>5568</v>
      </c>
    </row>
    <row r="78" spans="2:9" x14ac:dyDescent="0.3">
      <c r="C78" s="10">
        <v>8790654</v>
      </c>
      <c r="E78" s="10" t="s">
        <v>65</v>
      </c>
      <c r="G78" s="10">
        <v>8790654</v>
      </c>
    </row>
    <row r="79" spans="2:9" x14ac:dyDescent="0.3">
      <c r="C79" s="10">
        <v>5908765432</v>
      </c>
      <c r="E79" s="10" t="s">
        <v>68</v>
      </c>
      <c r="G79" s="10">
        <v>5908765432</v>
      </c>
    </row>
    <row r="80" spans="2:9" x14ac:dyDescent="0.3">
      <c r="C80" s="10">
        <v>700</v>
      </c>
      <c r="E80" s="15">
        <v>700</v>
      </c>
      <c r="G80" s="10">
        <v>700</v>
      </c>
    </row>
    <row r="81" spans="2:8" x14ac:dyDescent="0.3">
      <c r="C81" s="10">
        <v>3456</v>
      </c>
      <c r="E81" s="15">
        <v>3456</v>
      </c>
      <c r="G81" s="10">
        <v>3456</v>
      </c>
    </row>
    <row r="84" spans="2:8" ht="15" thickBot="1" x14ac:dyDescent="0.35">
      <c r="B84" s="6" t="s">
        <v>70</v>
      </c>
    </row>
    <row r="85" spans="2:8" ht="15" thickBot="1" x14ac:dyDescent="0.35">
      <c r="E85" s="88" t="s">
        <v>73</v>
      </c>
      <c r="F85" s="89"/>
      <c r="G85" s="89"/>
      <c r="H85" s="90"/>
    </row>
    <row r="86" spans="2:8" x14ac:dyDescent="0.3">
      <c r="C86" s="18" t="s">
        <v>71</v>
      </c>
      <c r="D86" s="18" t="s">
        <v>72</v>
      </c>
      <c r="E86" s="19" t="s">
        <v>74</v>
      </c>
      <c r="F86" s="19" t="s">
        <v>75</v>
      </c>
      <c r="G86" s="19" t="s">
        <v>76</v>
      </c>
      <c r="H86" s="19" t="s">
        <v>77</v>
      </c>
    </row>
    <row r="87" spans="2:8" x14ac:dyDescent="0.3">
      <c r="C87" s="17">
        <v>0.40277777777777779</v>
      </c>
      <c r="D87" s="17">
        <v>0.53472222222222221</v>
      </c>
      <c r="E87" s="20">
        <f>D87-C87</f>
        <v>0.13194444444444442</v>
      </c>
      <c r="F87" s="21">
        <f>D87-C87</f>
        <v>0.13194444444444442</v>
      </c>
      <c r="G87" s="22">
        <f>D87-C87</f>
        <v>0.13194444444444442</v>
      </c>
      <c r="H87" s="23">
        <f>D87-C87</f>
        <v>0.13194444444444442</v>
      </c>
    </row>
    <row r="88" spans="2:8" x14ac:dyDescent="0.3">
      <c r="F88" t="s">
        <v>78</v>
      </c>
      <c r="G88" t="s">
        <v>79</v>
      </c>
    </row>
    <row r="90" spans="2:8" x14ac:dyDescent="0.3">
      <c r="C90" s="8" t="s">
        <v>80</v>
      </c>
      <c r="D90" s="8"/>
    </row>
    <row r="91" spans="2:8" x14ac:dyDescent="0.3">
      <c r="C91" s="8"/>
      <c r="D91" s="8" t="s">
        <v>81</v>
      </c>
    </row>
    <row r="93" spans="2:8" x14ac:dyDescent="0.3">
      <c r="D93" t="s">
        <v>82</v>
      </c>
      <c r="E93" s="24">
        <f ca="1">TODAY()</f>
        <v>45901</v>
      </c>
      <c r="G93" s="25">
        <f ca="1">NOW()</f>
        <v>45901.549835532409</v>
      </c>
    </row>
    <row r="94" spans="2:8" x14ac:dyDescent="0.3">
      <c r="E94" t="s">
        <v>83</v>
      </c>
    </row>
    <row r="96" spans="2:8" x14ac:dyDescent="0.3">
      <c r="E96" s="26">
        <f ca="1">TODAY()</f>
        <v>45901</v>
      </c>
    </row>
    <row r="97" spans="2:7" x14ac:dyDescent="0.3">
      <c r="E97" s="12" t="s">
        <v>84</v>
      </c>
    </row>
    <row r="100" spans="2:7" x14ac:dyDescent="0.3">
      <c r="B100" s="2" t="s">
        <v>85</v>
      </c>
      <c r="C100" s="3"/>
    </row>
    <row r="102" spans="2:7" x14ac:dyDescent="0.3">
      <c r="C102" s="8" t="s">
        <v>86</v>
      </c>
      <c r="E102" t="s">
        <v>87</v>
      </c>
    </row>
    <row r="104" spans="2:7" x14ac:dyDescent="0.3">
      <c r="D104" s="9" t="s">
        <v>47</v>
      </c>
      <c r="F104" t="s">
        <v>89</v>
      </c>
    </row>
    <row r="105" spans="2:7" x14ac:dyDescent="0.3">
      <c r="D105" s="10">
        <v>23</v>
      </c>
      <c r="F105">
        <f>COUNT(D105:D112)</f>
        <v>6</v>
      </c>
      <c r="G105" t="s">
        <v>90</v>
      </c>
    </row>
    <row r="106" spans="2:7" x14ac:dyDescent="0.3">
      <c r="D106" s="10">
        <v>45</v>
      </c>
      <c r="F106">
        <f>COUNTA(D105:D112)</f>
        <v>7</v>
      </c>
      <c r="G106" t="s">
        <v>91</v>
      </c>
    </row>
    <row r="107" spans="2:7" x14ac:dyDescent="0.3">
      <c r="D107" s="10">
        <v>67</v>
      </c>
      <c r="F107">
        <f>COUNTBLANK(D105:D112)</f>
        <v>1</v>
      </c>
      <c r="G107" t="s">
        <v>92</v>
      </c>
    </row>
    <row r="108" spans="2:7" x14ac:dyDescent="0.3">
      <c r="D108" s="10"/>
    </row>
    <row r="109" spans="2:7" x14ac:dyDescent="0.3">
      <c r="D109" s="10">
        <v>34</v>
      </c>
    </row>
    <row r="110" spans="2:7" x14ac:dyDescent="0.3">
      <c r="D110" s="10">
        <v>67</v>
      </c>
      <c r="F110" s="1" t="s">
        <v>93</v>
      </c>
    </row>
    <row r="111" spans="2:7" x14ac:dyDescent="0.3">
      <c r="D111" s="10">
        <v>90</v>
      </c>
      <c r="F111">
        <f>MAX(D105:D112)</f>
        <v>90</v>
      </c>
    </row>
    <row r="112" spans="2:7" x14ac:dyDescent="0.3">
      <c r="D112" s="10" t="s">
        <v>88</v>
      </c>
      <c r="F112" s="1" t="s">
        <v>94</v>
      </c>
    </row>
    <row r="113" spans="3:10" x14ac:dyDescent="0.3">
      <c r="F113">
        <f>LARGE(D105:D112, 3)</f>
        <v>67</v>
      </c>
    </row>
    <row r="114" spans="3:10" x14ac:dyDescent="0.3">
      <c r="F114" s="1" t="s">
        <v>95</v>
      </c>
    </row>
    <row r="115" spans="3:10" x14ac:dyDescent="0.3">
      <c r="F115">
        <f>SMALL(D105:D112, 4)</f>
        <v>67</v>
      </c>
    </row>
    <row r="116" spans="3:10" x14ac:dyDescent="0.3">
      <c r="C116" s="8" t="s">
        <v>102</v>
      </c>
      <c r="E116" t="s">
        <v>96</v>
      </c>
    </row>
    <row r="118" spans="3:10" x14ac:dyDescent="0.3">
      <c r="D118" s="9" t="s">
        <v>47</v>
      </c>
      <c r="E118" s="9" t="s">
        <v>97</v>
      </c>
      <c r="F118" s="9" t="s">
        <v>98</v>
      </c>
      <c r="G118" s="9" t="s">
        <v>99</v>
      </c>
      <c r="H118" s="9" t="s">
        <v>100</v>
      </c>
      <c r="I118" s="9" t="s">
        <v>101</v>
      </c>
      <c r="J118" s="27" t="s">
        <v>104</v>
      </c>
    </row>
    <row r="119" spans="3:10" x14ac:dyDescent="0.3">
      <c r="D119" s="10">
        <v>2345</v>
      </c>
      <c r="E119" s="10">
        <f>ROUND(D119, 2)</f>
        <v>2345</v>
      </c>
      <c r="F119" s="10">
        <f>_xlfn.CEILING.MATH(D119)</f>
        <v>2345</v>
      </c>
      <c r="G119" s="10">
        <f>_xlfn.FLOOR.MATH(D119)</f>
        <v>2345</v>
      </c>
      <c r="H119" s="10">
        <f>SQRT(D119)</f>
        <v>48.425200051213004</v>
      </c>
      <c r="I119" s="10" cm="1">
        <f t="array" ref="I119:I122">ABS(D119:D122)</f>
        <v>2345</v>
      </c>
      <c r="J119" t="e">
        <f>EXP(D119)</f>
        <v>#NUM!</v>
      </c>
    </row>
    <row r="120" spans="3:10" x14ac:dyDescent="0.3">
      <c r="D120" s="10">
        <v>2345.6469999999999</v>
      </c>
      <c r="E120" s="10">
        <f t="shared" ref="E120:E122" si="0">ROUND(D120, 2)</f>
        <v>2345.65</v>
      </c>
      <c r="F120" s="10">
        <f t="shared" ref="F120:F122" si="1">_xlfn.CEILING.MATH(D120)</f>
        <v>2346</v>
      </c>
      <c r="G120" s="10">
        <f t="shared" ref="G120:G122" si="2">_xlfn.FLOOR.MATH(D120)</f>
        <v>2345</v>
      </c>
      <c r="H120" s="10">
        <f t="shared" ref="H120:H122" si="3">SQRT(D120)</f>
        <v>48.431879996547728</v>
      </c>
      <c r="I120" s="10">
        <v>2345.6469999999999</v>
      </c>
      <c r="J120" t="e">
        <f t="shared" ref="J120:J122" si="4">EXP(D120)</f>
        <v>#NUM!</v>
      </c>
    </row>
    <row r="121" spans="3:10" x14ac:dyDescent="0.3">
      <c r="D121" s="10">
        <v>-2345.6750000000002</v>
      </c>
      <c r="E121" s="10">
        <f t="shared" si="0"/>
        <v>-2345.6799999999998</v>
      </c>
      <c r="F121" s="10">
        <f t="shared" si="1"/>
        <v>-2345</v>
      </c>
      <c r="G121" s="10">
        <f t="shared" si="2"/>
        <v>-2346</v>
      </c>
      <c r="H121" s="10" t="e">
        <f t="shared" si="3"/>
        <v>#NUM!</v>
      </c>
      <c r="I121" s="10">
        <v>2345.6750000000002</v>
      </c>
      <c r="J121">
        <f t="shared" si="4"/>
        <v>0</v>
      </c>
    </row>
    <row r="122" spans="3:10" x14ac:dyDescent="0.3">
      <c r="D122" s="10">
        <v>100</v>
      </c>
      <c r="E122" s="10">
        <f t="shared" si="0"/>
        <v>100</v>
      </c>
      <c r="F122" s="10">
        <f t="shared" si="1"/>
        <v>100</v>
      </c>
      <c r="G122" s="10">
        <f t="shared" si="2"/>
        <v>100</v>
      </c>
      <c r="H122" s="10">
        <f t="shared" si="3"/>
        <v>10</v>
      </c>
      <c r="I122" s="10">
        <v>100</v>
      </c>
      <c r="J122">
        <f t="shared" si="4"/>
        <v>2.6881171418161356E+43</v>
      </c>
    </row>
    <row r="124" spans="3:10" x14ac:dyDescent="0.3">
      <c r="C124" s="8" t="s">
        <v>103</v>
      </c>
    </row>
    <row r="126" spans="3:10" x14ac:dyDescent="0.3">
      <c r="D126" s="9" t="s">
        <v>105</v>
      </c>
      <c r="E126" s="9" t="s">
        <v>106</v>
      </c>
      <c r="F126" s="9" t="s">
        <v>107</v>
      </c>
      <c r="G126" s="9" t="s">
        <v>108</v>
      </c>
      <c r="H126" s="9" t="s">
        <v>109</v>
      </c>
      <c r="I126" s="9" t="s">
        <v>110</v>
      </c>
      <c r="J126" s="9" t="s">
        <v>111</v>
      </c>
    </row>
    <row r="127" spans="3:10" x14ac:dyDescent="0.3">
      <c r="D127" s="28">
        <v>36872</v>
      </c>
      <c r="E127" s="10">
        <f>YEAR(D127)</f>
        <v>2000</v>
      </c>
      <c r="F127" s="10">
        <f>MONTH(D127)</f>
        <v>12</v>
      </c>
      <c r="G127" s="10">
        <f>DAY(D127)</f>
        <v>12</v>
      </c>
      <c r="H127" s="10">
        <f>WEEKNUM(D127)</f>
        <v>51</v>
      </c>
      <c r="I127" s="10">
        <f>WEEKDAY(D127)</f>
        <v>3</v>
      </c>
      <c r="J127" s="10" t="str">
        <f>TEXT(D127, "dddd")</f>
        <v>Tuesday</v>
      </c>
    </row>
    <row r="128" spans="3:10" x14ac:dyDescent="0.3">
      <c r="D128" s="28">
        <v>32762</v>
      </c>
      <c r="E128" s="10">
        <f t="shared" ref="E128:E129" si="5">YEAR(D128)</f>
        <v>1989</v>
      </c>
      <c r="F128" s="10">
        <f t="shared" ref="F128:F129" si="6">MONTH(D128)</f>
        <v>9</v>
      </c>
      <c r="G128" s="10">
        <f t="shared" ref="G128:G129" si="7">DAY(D128)</f>
        <v>11</v>
      </c>
      <c r="H128" s="10">
        <f t="shared" ref="H128:H129" si="8">WEEKNUM(D128)</f>
        <v>37</v>
      </c>
      <c r="I128" s="10">
        <f t="shared" ref="I128:I129" si="9">WEEKDAY(D128)</f>
        <v>2</v>
      </c>
      <c r="J128" s="10" t="str">
        <f t="shared" ref="J128:J129" si="10">TEXT(D128, "dddd")</f>
        <v>Monday</v>
      </c>
    </row>
    <row r="129" spans="3:10" x14ac:dyDescent="0.3">
      <c r="D129" s="28">
        <v>36630</v>
      </c>
      <c r="E129" s="10">
        <f t="shared" si="5"/>
        <v>2000</v>
      </c>
      <c r="F129" s="10">
        <f t="shared" si="6"/>
        <v>4</v>
      </c>
      <c r="G129" s="10">
        <f t="shared" si="7"/>
        <v>14</v>
      </c>
      <c r="H129" s="10">
        <f t="shared" si="8"/>
        <v>16</v>
      </c>
      <c r="I129" s="10">
        <f t="shared" si="9"/>
        <v>6</v>
      </c>
      <c r="J129" s="10" t="str">
        <f t="shared" si="10"/>
        <v>Friday</v>
      </c>
    </row>
    <row r="131" spans="3:10" x14ac:dyDescent="0.3">
      <c r="E131" t="s">
        <v>112</v>
      </c>
    </row>
    <row r="133" spans="3:10" x14ac:dyDescent="0.3">
      <c r="D133" t="s">
        <v>113</v>
      </c>
      <c r="E133" s="9" t="s">
        <v>114</v>
      </c>
      <c r="F133" s="9" t="s">
        <v>115</v>
      </c>
      <c r="G133" s="9" t="s">
        <v>75</v>
      </c>
      <c r="H133" s="9" t="s">
        <v>116</v>
      </c>
      <c r="I133" s="9" t="s">
        <v>77</v>
      </c>
    </row>
    <row r="134" spans="3:10" x14ac:dyDescent="0.3">
      <c r="D134" s="29">
        <v>36719.705555555556</v>
      </c>
      <c r="E134" s="30">
        <v>36719.705555555556</v>
      </c>
      <c r="F134" s="31">
        <v>36719.705555555556</v>
      </c>
      <c r="G134" s="10">
        <f>HOUR(D134)</f>
        <v>16</v>
      </c>
      <c r="H134" s="10">
        <f>MINUTE(D134)</f>
        <v>56</v>
      </c>
      <c r="I134" s="10">
        <f>SECOND(D134)</f>
        <v>0</v>
      </c>
    </row>
    <row r="135" spans="3:10" x14ac:dyDescent="0.3">
      <c r="D135" s="29">
        <v>37208</v>
      </c>
      <c r="E135" s="30">
        <v>37208</v>
      </c>
      <c r="F135" s="31">
        <v>37208</v>
      </c>
      <c r="G135" s="10">
        <f>HOUR(D135)</f>
        <v>0</v>
      </c>
      <c r="H135" s="10">
        <f>MINUTE(D135)</f>
        <v>0</v>
      </c>
      <c r="I135" s="10">
        <f>SECOND(D135)</f>
        <v>0</v>
      </c>
    </row>
    <row r="138" spans="3:10" x14ac:dyDescent="0.3">
      <c r="D138" s="8" t="s">
        <v>117</v>
      </c>
    </row>
    <row r="139" spans="3:10" x14ac:dyDescent="0.3">
      <c r="D139" s="24">
        <f>DATE(1970, 1, 29)</f>
        <v>25597</v>
      </c>
    </row>
    <row r="140" spans="3:10" x14ac:dyDescent="0.3">
      <c r="E140" s="33">
        <f>TIME(13, 15, 40)</f>
        <v>0.55254629629629626</v>
      </c>
    </row>
    <row r="141" spans="3:10" x14ac:dyDescent="0.3">
      <c r="C141" s="2" t="s">
        <v>118</v>
      </c>
    </row>
    <row r="143" spans="3:10" x14ac:dyDescent="0.3">
      <c r="E143" s="32"/>
    </row>
    <row r="144" spans="3:10" x14ac:dyDescent="0.3">
      <c r="D144" t="s">
        <v>119</v>
      </c>
    </row>
    <row r="145" spans="3:9" x14ac:dyDescent="0.3">
      <c r="D145" t="s">
        <v>120</v>
      </c>
    </row>
    <row r="147" spans="3:9" x14ac:dyDescent="0.3">
      <c r="C147" s="8" t="s">
        <v>121</v>
      </c>
      <c r="E147" t="s">
        <v>122</v>
      </c>
    </row>
    <row r="148" spans="3:9" x14ac:dyDescent="0.3">
      <c r="E148" t="s">
        <v>129</v>
      </c>
    </row>
    <row r="149" spans="3:9" x14ac:dyDescent="0.3">
      <c r="D149" s="9" t="s">
        <v>123</v>
      </c>
      <c r="E149" s="9" t="s">
        <v>127</v>
      </c>
      <c r="F149" s="9" t="s">
        <v>128</v>
      </c>
    </row>
    <row r="150" spans="3:9" x14ac:dyDescent="0.3">
      <c r="D150" s="10" t="s">
        <v>124</v>
      </c>
      <c r="E150" s="10" t="str">
        <f>LEFT(D150, FIND(" ", D150) -1)</f>
        <v>Rohit</v>
      </c>
      <c r="F150" s="10" t="str">
        <f>RIGHT(D150, LEN(D150)- LEN(E150)-1)</f>
        <v>Sharma</v>
      </c>
    </row>
    <row r="151" spans="3:9" x14ac:dyDescent="0.3">
      <c r="D151" s="10" t="s">
        <v>125</v>
      </c>
      <c r="E151" s="10" t="str">
        <f t="shared" ref="E151:E152" si="11">LEFT(D151, FIND(" ", D151) -1)</f>
        <v>Virat</v>
      </c>
      <c r="F151" s="10" t="str">
        <f t="shared" ref="F151:F152" si="12">RIGHT(D151, LEN(D151)- LEN(E151)-1)</f>
        <v>Kohli</v>
      </c>
    </row>
    <row r="152" spans="3:9" x14ac:dyDescent="0.3">
      <c r="D152" s="10" t="s">
        <v>126</v>
      </c>
      <c r="E152" s="10" t="str">
        <f t="shared" si="11"/>
        <v>Jaspreet</v>
      </c>
      <c r="F152" s="10" t="str">
        <f t="shared" si="12"/>
        <v>Bumrah</v>
      </c>
    </row>
    <row r="155" spans="3:9" x14ac:dyDescent="0.3">
      <c r="D155" s="9" t="s">
        <v>123</v>
      </c>
      <c r="E155" s="9" t="s">
        <v>132</v>
      </c>
      <c r="F155" s="9" t="s">
        <v>128</v>
      </c>
      <c r="G155" s="9" t="s">
        <v>133</v>
      </c>
      <c r="H155" s="34" t="s">
        <v>134</v>
      </c>
      <c r="I155" s="34" t="s">
        <v>135</v>
      </c>
    </row>
    <row r="156" spans="3:9" x14ac:dyDescent="0.3">
      <c r="D156" s="10" t="s">
        <v>124</v>
      </c>
      <c r="E156" s="10" t="str">
        <f>LEFT(D156, FIND(" ", D156)-1)</f>
        <v>Rohit</v>
      </c>
      <c r="F156" s="10" t="str">
        <f>TRIM( RIGHT(D156, LEN(D156) - LEN(E156) -LEN(G156)-1))</f>
        <v>Sharma</v>
      </c>
      <c r="G156" s="10" t="str">
        <f>IFERROR( MID(D156, FIND(" ", D156)+1, FIND(" ", D156, FIND(" ", D156)+1) - FIND(" ", D156)-1), "")</f>
        <v/>
      </c>
      <c r="H156">
        <f>FIND(" ", D156)</f>
        <v>6</v>
      </c>
      <c r="I156" t="e">
        <f>FIND(" ", D156, FIND(" ", D156)+1)</f>
        <v>#VALUE!</v>
      </c>
    </row>
    <row r="157" spans="3:9" x14ac:dyDescent="0.3">
      <c r="D157" s="10" t="s">
        <v>125</v>
      </c>
      <c r="E157" s="10" t="str">
        <f t="shared" ref="E157:E159" si="13">LEFT(D157, FIND(" ", D157)-1)</f>
        <v>Virat</v>
      </c>
      <c r="F157" s="10" t="str">
        <f t="shared" ref="F157:F159" si="14">TRIM( RIGHT(D157, LEN(D157) - LEN(E157) -LEN(G157)-1))</f>
        <v>Kohli</v>
      </c>
      <c r="G157" s="10" t="str">
        <f t="shared" ref="G157:G159" si="15">IFERROR( MID(D157, FIND(" ", D157)+1, FIND(" ", D157, FIND(" ", D157)+1) - FIND(" ", D157)-1), "")</f>
        <v/>
      </c>
      <c r="H157">
        <f t="shared" ref="H157:H159" si="16">FIND(" ", D157)</f>
        <v>6</v>
      </c>
      <c r="I157" t="e">
        <f t="shared" ref="I157:I159" si="17">FIND(" ", D157, FIND(" ", D157)+1)</f>
        <v>#VALUE!</v>
      </c>
    </row>
    <row r="158" spans="3:9" x14ac:dyDescent="0.3">
      <c r="D158" s="10" t="s">
        <v>130</v>
      </c>
      <c r="E158" s="10" t="str">
        <f t="shared" si="13"/>
        <v>Mahendra</v>
      </c>
      <c r="F158" s="10" t="str">
        <f t="shared" si="14"/>
        <v>Dhoni</v>
      </c>
      <c r="G158" s="10" t="str">
        <f t="shared" si="15"/>
        <v>Singh</v>
      </c>
      <c r="H158">
        <f t="shared" si="16"/>
        <v>9</v>
      </c>
      <c r="I158">
        <f t="shared" si="17"/>
        <v>15</v>
      </c>
    </row>
    <row r="159" spans="3:9" x14ac:dyDescent="0.3">
      <c r="D159" s="10" t="s">
        <v>131</v>
      </c>
      <c r="E159" s="10" t="str">
        <f t="shared" si="13"/>
        <v>KL</v>
      </c>
      <c r="F159" s="10" t="str">
        <f t="shared" si="14"/>
        <v>Rahul</v>
      </c>
      <c r="G159" s="10" t="str">
        <f t="shared" si="15"/>
        <v/>
      </c>
      <c r="H159">
        <f t="shared" si="16"/>
        <v>3</v>
      </c>
      <c r="I159" t="e">
        <f t="shared" si="17"/>
        <v>#VALUE!</v>
      </c>
    </row>
    <row r="161" spans="2:7" x14ac:dyDescent="0.3">
      <c r="D161" s="9" t="s">
        <v>123</v>
      </c>
      <c r="E161" s="9" t="s">
        <v>140</v>
      </c>
      <c r="F161" s="9" t="s">
        <v>141</v>
      </c>
    </row>
    <row r="162" spans="2:7" x14ac:dyDescent="0.3">
      <c r="D162" s="10" t="s">
        <v>136</v>
      </c>
      <c r="E162" s="10" t="str">
        <f>TRIM(LEFT(D162, FIND("Jersey", D162)-1 ) )</f>
        <v>Rohit Sharma</v>
      </c>
      <c r="F162" s="10" t="str">
        <f>RIGHT(D162, LEN(D162) -LEN(E162) -7)</f>
        <v>45</v>
      </c>
      <c r="G162" t="str">
        <f>RIGHT(D162, LEN(D162) - FIND("Jersey", D162)-5)</f>
        <v>45</v>
      </c>
    </row>
    <row r="163" spans="2:7" x14ac:dyDescent="0.3">
      <c r="D163" s="10" t="s">
        <v>137</v>
      </c>
      <c r="E163" s="10" t="str">
        <f t="shared" ref="E163:E166" si="18">TRIM(LEFT(D163, FIND("Jersey", D163)-1 ) )</f>
        <v>Virat Kohli</v>
      </c>
      <c r="F163" s="10" t="str">
        <f t="shared" ref="F163:F166" si="19">RIGHT(D163, LEN(D163) -LEN(E163) -7)</f>
        <v>18</v>
      </c>
      <c r="G163" t="str">
        <f t="shared" ref="G163:G166" si="20">RIGHT(D163, LEN(D163) - FIND("Jersey", D163)-5)</f>
        <v>18</v>
      </c>
    </row>
    <row r="164" spans="2:7" x14ac:dyDescent="0.3">
      <c r="D164" s="10" t="s">
        <v>138</v>
      </c>
      <c r="E164" s="10" t="str">
        <f t="shared" si="18"/>
        <v>Mahendra Singh Dhoni</v>
      </c>
      <c r="F164" s="10" t="str">
        <f t="shared" si="19"/>
        <v>07</v>
      </c>
      <c r="G164" t="str">
        <f t="shared" si="20"/>
        <v>07</v>
      </c>
    </row>
    <row r="165" spans="2:7" x14ac:dyDescent="0.3">
      <c r="D165" s="10" t="s">
        <v>139</v>
      </c>
      <c r="E165" s="10" t="str">
        <f t="shared" si="18"/>
        <v>KL Rahul</v>
      </c>
      <c r="F165" s="10" t="str">
        <f t="shared" si="19"/>
        <v>1</v>
      </c>
      <c r="G165" t="str">
        <f t="shared" si="20"/>
        <v>1</v>
      </c>
    </row>
    <row r="166" spans="2:7" x14ac:dyDescent="0.3">
      <c r="D166" s="10" t="s">
        <v>142</v>
      </c>
      <c r="E166" s="10" t="str">
        <f t="shared" si="18"/>
        <v>Prithvi Shaw</v>
      </c>
      <c r="F166" s="10" t="str">
        <f t="shared" si="19"/>
        <v>100</v>
      </c>
      <c r="G166" t="str">
        <f t="shared" si="20"/>
        <v>100</v>
      </c>
    </row>
    <row r="169" spans="2:7" x14ac:dyDescent="0.3">
      <c r="B169" s="2" t="s">
        <v>143</v>
      </c>
      <c r="C169" s="3"/>
    </row>
    <row r="171" spans="2:7" x14ac:dyDescent="0.3">
      <c r="D171" s="9" t="s">
        <v>123</v>
      </c>
      <c r="E171" s="9" t="s">
        <v>127</v>
      </c>
      <c r="F171" s="9" t="s">
        <v>128</v>
      </c>
    </row>
    <row r="172" spans="2:7" x14ac:dyDescent="0.3">
      <c r="D172" s="10" t="s">
        <v>124</v>
      </c>
      <c r="E172" s="10" t="s">
        <v>144</v>
      </c>
      <c r="F172" s="10" t="s">
        <v>145</v>
      </c>
    </row>
    <row r="173" spans="2:7" x14ac:dyDescent="0.3">
      <c r="D173" s="10" t="s">
        <v>125</v>
      </c>
      <c r="E173" s="10" t="s">
        <v>146</v>
      </c>
      <c r="F173" s="10" t="s">
        <v>147</v>
      </c>
    </row>
    <row r="174" spans="2:7" x14ac:dyDescent="0.3">
      <c r="D174" s="10" t="s">
        <v>126</v>
      </c>
      <c r="E174" s="10" t="s">
        <v>148</v>
      </c>
      <c r="F174" s="10" t="s">
        <v>149</v>
      </c>
    </row>
    <row r="176" spans="2:7" x14ac:dyDescent="0.3">
      <c r="D176" s="9" t="s">
        <v>123</v>
      </c>
      <c r="E176" s="9" t="s">
        <v>132</v>
      </c>
      <c r="F176" s="9" t="s">
        <v>128</v>
      </c>
      <c r="G176" s="9" t="s">
        <v>133</v>
      </c>
    </row>
    <row r="177" spans="2:7" x14ac:dyDescent="0.3">
      <c r="D177" s="10" t="s">
        <v>124</v>
      </c>
      <c r="E177" s="10" t="s">
        <v>144</v>
      </c>
      <c r="F177" s="10" t="s">
        <v>145</v>
      </c>
      <c r="G177" s="10"/>
    </row>
    <row r="178" spans="2:7" x14ac:dyDescent="0.3">
      <c r="D178" s="10" t="s">
        <v>125</v>
      </c>
      <c r="E178" s="10" t="s">
        <v>146</v>
      </c>
      <c r="F178" s="10" t="s">
        <v>147</v>
      </c>
      <c r="G178" s="10"/>
    </row>
    <row r="179" spans="2:7" x14ac:dyDescent="0.3">
      <c r="D179" s="10" t="s">
        <v>130</v>
      </c>
      <c r="E179" s="10" t="s">
        <v>150</v>
      </c>
      <c r="F179" s="10" t="s">
        <v>152</v>
      </c>
      <c r="G179" s="10" t="s">
        <v>151</v>
      </c>
    </row>
    <row r="180" spans="2:7" x14ac:dyDescent="0.3">
      <c r="D180" s="10" t="s">
        <v>131</v>
      </c>
      <c r="E180" s="10" t="s">
        <v>153</v>
      </c>
      <c r="F180" s="10" t="s">
        <v>154</v>
      </c>
      <c r="G180" s="10"/>
    </row>
    <row r="182" spans="2:7" x14ac:dyDescent="0.3">
      <c r="B182" s="2" t="s">
        <v>161</v>
      </c>
      <c r="C182" s="3"/>
    </row>
    <row r="184" spans="2:7" x14ac:dyDescent="0.3">
      <c r="C184" t="s">
        <v>155</v>
      </c>
      <c r="D184" s="8" t="s">
        <v>156</v>
      </c>
    </row>
    <row r="185" spans="2:7" x14ac:dyDescent="0.3">
      <c r="D185">
        <f>FIND("n", "Python")</f>
        <v>6</v>
      </c>
      <c r="E185" s="12" t="s">
        <v>157</v>
      </c>
    </row>
    <row r="186" spans="2:7" x14ac:dyDescent="0.3">
      <c r="D186">
        <f>SEARCH("n", "Python")</f>
        <v>6</v>
      </c>
      <c r="E186" s="12" t="s">
        <v>158</v>
      </c>
    </row>
    <row r="188" spans="2:7" x14ac:dyDescent="0.3">
      <c r="D188" t="e">
        <f>FIND("N", "Python")</f>
        <v>#VALUE!</v>
      </c>
      <c r="E188" s="12" t="s">
        <v>160</v>
      </c>
    </row>
    <row r="189" spans="2:7" x14ac:dyDescent="0.3">
      <c r="D189">
        <f>SEARCH("N", "Python")</f>
        <v>6</v>
      </c>
      <c r="E189" s="12" t="s">
        <v>159</v>
      </c>
    </row>
    <row r="191" spans="2:7" x14ac:dyDescent="0.3">
      <c r="C191" s="9" t="s">
        <v>127</v>
      </c>
      <c r="D191" s="9" t="s">
        <v>128</v>
      </c>
      <c r="E191" s="9" t="s">
        <v>162</v>
      </c>
    </row>
    <row r="192" spans="2:7" x14ac:dyDescent="0.3">
      <c r="C192" s="10" t="s">
        <v>144</v>
      </c>
      <c r="D192" s="10" t="s">
        <v>145</v>
      </c>
      <c r="E192" s="10" t="str">
        <f>_xlfn.CONCAT(C192,  " ", D192)</f>
        <v>Rohit Sharma</v>
      </c>
      <c r="F192" t="str">
        <f>C192 &amp; " " &amp;D192</f>
        <v>Rohit Sharma</v>
      </c>
    </row>
    <row r="193" spans="3:6" x14ac:dyDescent="0.3">
      <c r="C193" s="10" t="s">
        <v>146</v>
      </c>
      <c r="D193" s="10" t="s">
        <v>147</v>
      </c>
      <c r="E193" s="10" t="str">
        <f t="shared" ref="E193:E194" si="21">_xlfn.CONCAT(C193,  " ", D193)</f>
        <v>Virat Kohli</v>
      </c>
      <c r="F193" t="str">
        <f t="shared" ref="F193:F194" si="22">C193 &amp; " " &amp;D193</f>
        <v>Virat Kohli</v>
      </c>
    </row>
    <row r="194" spans="3:6" x14ac:dyDescent="0.3">
      <c r="C194" s="10" t="s">
        <v>148</v>
      </c>
      <c r="D194" s="10" t="s">
        <v>149</v>
      </c>
      <c r="E194" s="10" t="str">
        <f t="shared" si="21"/>
        <v>Jaspreet Bumrah</v>
      </c>
      <c r="F194" t="str">
        <f t="shared" si="22"/>
        <v>Jaspreet Bumrah</v>
      </c>
    </row>
    <row r="197" spans="3:6" x14ac:dyDescent="0.3">
      <c r="C197" s="9" t="s">
        <v>163</v>
      </c>
      <c r="D197" s="9" t="s">
        <v>164</v>
      </c>
      <c r="E197" s="9" t="s">
        <v>165</v>
      </c>
    </row>
    <row r="198" spans="3:6" x14ac:dyDescent="0.3">
      <c r="C198" s="10" t="s">
        <v>166</v>
      </c>
      <c r="D198" s="10" t="str">
        <f>LEFT(C198, FIND(" ", C198)-1)</f>
        <v>abc</v>
      </c>
      <c r="E198" s="10" t="str">
        <f>MID(C198, SEARCH( "(????)", C198)+1, 4)</f>
        <v>1990</v>
      </c>
    </row>
    <row r="199" spans="3:6" x14ac:dyDescent="0.3">
      <c r="C199" s="10" t="s">
        <v>167</v>
      </c>
      <c r="D199" s="10" t="str">
        <f>LEFT(C199, FIND(" ", C199)-1)</f>
        <v>bcksbco</v>
      </c>
      <c r="E199" s="10" t="str">
        <f>MID(C199, SEARCH( "(????)", C199)+1, 4)</f>
        <v>2000</v>
      </c>
    </row>
  </sheetData>
  <mergeCells count="1">
    <mergeCell ref="E85:H85"/>
  </mergeCells>
  <conditionalFormatting sqref="G76:G81">
    <cfRule type="cellIs" dxfId="2" priority="1" stopIfTrue="1" operator="greaterThan">
      <formula>1000000000</formula>
    </cfRule>
    <cfRule type="cellIs" dxfId="1" priority="2" stopIfTrue="1" operator="greaterThan">
      <formula>1000000</formula>
    </cfRule>
    <cfRule type="cellIs" dxfId="0" priority="3" operator="greaterThan">
      <formula>1000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7763-C919-4319-99D9-5332D64A6979}">
  <dimension ref="B2:O128"/>
  <sheetViews>
    <sheetView topLeftCell="A114" zoomScale="130" zoomScaleNormal="130" workbookViewId="0">
      <selection activeCell="J131" sqref="J131"/>
    </sheetView>
  </sheetViews>
  <sheetFormatPr defaultRowHeight="14.4" x14ac:dyDescent="0.3"/>
  <cols>
    <col min="2" max="2" width="11.21875" bestFit="1" customWidth="1"/>
    <col min="3" max="3" width="10.6640625" customWidth="1"/>
    <col min="4" max="4" width="11.44140625" customWidth="1"/>
  </cols>
  <sheetData>
    <row r="2" spans="2:6" ht="15.6" x14ac:dyDescent="0.3">
      <c r="B2" s="35">
        <v>45895</v>
      </c>
      <c r="C2" s="36"/>
    </row>
    <row r="4" spans="2:6" x14ac:dyDescent="0.3">
      <c r="B4" s="6" t="s">
        <v>168</v>
      </c>
    </row>
    <row r="5" spans="2:6" x14ac:dyDescent="0.3">
      <c r="C5" t="s">
        <v>169</v>
      </c>
    </row>
    <row r="6" spans="2:6" x14ac:dyDescent="0.3">
      <c r="D6" t="s">
        <v>170</v>
      </c>
    </row>
    <row r="7" spans="2:6" x14ac:dyDescent="0.3">
      <c r="D7" t="s">
        <v>171</v>
      </c>
    </row>
    <row r="8" spans="2:6" x14ac:dyDescent="0.3">
      <c r="D8" t="s">
        <v>172</v>
      </c>
    </row>
    <row r="9" spans="2:6" x14ac:dyDescent="0.3">
      <c r="D9" t="s">
        <v>173</v>
      </c>
    </row>
    <row r="10" spans="2:6" x14ac:dyDescent="0.3">
      <c r="D10" t="s">
        <v>174</v>
      </c>
    </row>
    <row r="11" spans="2:6" x14ac:dyDescent="0.3">
      <c r="D11" t="s">
        <v>175</v>
      </c>
    </row>
    <row r="13" spans="2:6" x14ac:dyDescent="0.3">
      <c r="B13" s="2" t="s">
        <v>176</v>
      </c>
      <c r="C13" s="3"/>
    </row>
    <row r="15" spans="2:6" x14ac:dyDescent="0.3">
      <c r="C15" t="s">
        <v>182</v>
      </c>
    </row>
    <row r="16" spans="2:6" x14ac:dyDescent="0.3">
      <c r="D16" s="8" t="s">
        <v>183</v>
      </c>
      <c r="F16" t="s">
        <v>189</v>
      </c>
    </row>
    <row r="18" spans="4:9" x14ac:dyDescent="0.3">
      <c r="D18" s="37" t="s">
        <v>185</v>
      </c>
      <c r="E18" s="37" t="s">
        <v>186</v>
      </c>
      <c r="F18" s="37" t="s">
        <v>187</v>
      </c>
      <c r="G18" s="37" t="s">
        <v>38</v>
      </c>
    </row>
    <row r="19" spans="4:9" x14ac:dyDescent="0.3">
      <c r="D19" s="10">
        <v>101</v>
      </c>
      <c r="E19" s="10" t="s">
        <v>191</v>
      </c>
      <c r="F19" s="10">
        <v>19</v>
      </c>
      <c r="G19" s="10" t="s">
        <v>39</v>
      </c>
    </row>
    <row r="20" spans="4:9" x14ac:dyDescent="0.3">
      <c r="D20" s="10">
        <v>102</v>
      </c>
      <c r="E20" s="10" t="s">
        <v>192</v>
      </c>
      <c r="F20" s="10">
        <v>20</v>
      </c>
      <c r="G20" s="10" t="s">
        <v>40</v>
      </c>
    </row>
    <row r="21" spans="4:9" x14ac:dyDescent="0.3">
      <c r="D21">
        <v>103</v>
      </c>
    </row>
    <row r="22" spans="4:9" x14ac:dyDescent="0.3">
      <c r="D22" t="s">
        <v>188</v>
      </c>
    </row>
    <row r="24" spans="4:9" x14ac:dyDescent="0.3">
      <c r="D24" s="8" t="s">
        <v>184</v>
      </c>
      <c r="F24" t="s">
        <v>190</v>
      </c>
    </row>
    <row r="26" spans="4:9" x14ac:dyDescent="0.3">
      <c r="D26" s="37" t="s">
        <v>185</v>
      </c>
      <c r="E26" s="10">
        <v>101</v>
      </c>
      <c r="F26" s="10">
        <v>102</v>
      </c>
      <c r="G26">
        <v>103</v>
      </c>
      <c r="H26">
        <v>104</v>
      </c>
      <c r="I26" t="s">
        <v>42</v>
      </c>
    </row>
    <row r="27" spans="4:9" x14ac:dyDescent="0.3">
      <c r="D27" s="37" t="s">
        <v>186</v>
      </c>
      <c r="E27" s="10" t="s">
        <v>191</v>
      </c>
      <c r="F27" s="10" t="s">
        <v>192</v>
      </c>
    </row>
    <row r="28" spans="4:9" x14ac:dyDescent="0.3">
      <c r="D28" s="37" t="s">
        <v>187</v>
      </c>
      <c r="E28" s="10">
        <v>19</v>
      </c>
      <c r="F28" s="10">
        <v>20</v>
      </c>
    </row>
    <row r="29" spans="4:9" x14ac:dyDescent="0.3">
      <c r="D29" s="37" t="s">
        <v>38</v>
      </c>
      <c r="E29" s="10" t="s">
        <v>39</v>
      </c>
      <c r="F29" s="10" t="s">
        <v>40</v>
      </c>
    </row>
    <row r="31" spans="4:9" x14ac:dyDescent="0.3">
      <c r="D31" s="8" t="s">
        <v>193</v>
      </c>
    </row>
    <row r="32" spans="4:9" x14ac:dyDescent="0.3">
      <c r="F32" t="s">
        <v>194</v>
      </c>
    </row>
    <row r="34" spans="3:9" x14ac:dyDescent="0.3">
      <c r="F34" s="91" t="s">
        <v>195</v>
      </c>
      <c r="G34" s="91"/>
      <c r="H34" s="91"/>
      <c r="I34" s="91"/>
    </row>
    <row r="35" spans="3:9" x14ac:dyDescent="0.3">
      <c r="D35" s="92" t="s">
        <v>106</v>
      </c>
      <c r="E35" s="9"/>
      <c r="F35" s="18" t="s">
        <v>196</v>
      </c>
      <c r="G35" s="18" t="s">
        <v>197</v>
      </c>
      <c r="H35" s="18" t="s">
        <v>198</v>
      </c>
      <c r="I35" s="18" t="s">
        <v>199</v>
      </c>
    </row>
    <row r="36" spans="3:9" x14ac:dyDescent="0.3">
      <c r="D36" s="93"/>
      <c r="E36" s="38">
        <v>2011</v>
      </c>
      <c r="F36" s="10">
        <v>393</v>
      </c>
      <c r="G36" s="10">
        <v>249</v>
      </c>
      <c r="H36" s="10">
        <v>320</v>
      </c>
      <c r="I36" s="10">
        <v>363</v>
      </c>
    </row>
    <row r="37" spans="3:9" x14ac:dyDescent="0.3">
      <c r="D37" s="93"/>
      <c r="E37" s="38">
        <v>2012</v>
      </c>
      <c r="F37" s="10">
        <v>377</v>
      </c>
      <c r="G37" s="10">
        <v>353</v>
      </c>
      <c r="H37" s="10">
        <v>300</v>
      </c>
      <c r="I37" s="10">
        <v>304</v>
      </c>
    </row>
    <row r="38" spans="3:9" x14ac:dyDescent="0.3">
      <c r="D38" s="94"/>
      <c r="E38" s="38">
        <v>2013</v>
      </c>
      <c r="F38" s="10">
        <v>301</v>
      </c>
      <c r="G38" s="10">
        <v>336</v>
      </c>
      <c r="H38" s="10">
        <v>285</v>
      </c>
      <c r="I38" s="10">
        <v>390</v>
      </c>
    </row>
    <row r="40" spans="3:9" x14ac:dyDescent="0.3">
      <c r="C40" t="s">
        <v>177</v>
      </c>
    </row>
    <row r="41" spans="3:9" x14ac:dyDescent="0.3">
      <c r="C41" t="s">
        <v>178</v>
      </c>
    </row>
    <row r="42" spans="3:9" x14ac:dyDescent="0.3">
      <c r="C42" t="s">
        <v>181</v>
      </c>
    </row>
    <row r="43" spans="3:9" x14ac:dyDescent="0.3">
      <c r="D43" s="39" t="s">
        <v>200</v>
      </c>
    </row>
    <row r="44" spans="3:9" x14ac:dyDescent="0.3">
      <c r="D44" s="39"/>
      <c r="E44" t="s">
        <v>216</v>
      </c>
    </row>
    <row r="45" spans="3:9" x14ac:dyDescent="0.3">
      <c r="D45" s="39"/>
      <c r="E45" t="s">
        <v>219</v>
      </c>
    </row>
    <row r="46" spans="3:9" x14ac:dyDescent="0.3">
      <c r="D46" s="39"/>
    </row>
    <row r="47" spans="3:9" x14ac:dyDescent="0.3">
      <c r="D47" s="39" t="s">
        <v>201</v>
      </c>
    </row>
    <row r="48" spans="3:9" x14ac:dyDescent="0.3">
      <c r="D48" s="39"/>
      <c r="E48" t="s">
        <v>217</v>
      </c>
    </row>
    <row r="49" spans="3:9" x14ac:dyDescent="0.3">
      <c r="D49" s="39"/>
      <c r="E49" t="s">
        <v>218</v>
      </c>
    </row>
    <row r="50" spans="3:9" x14ac:dyDescent="0.3">
      <c r="D50" s="39"/>
    </row>
    <row r="51" spans="3:9" x14ac:dyDescent="0.3">
      <c r="D51" s="39" t="s">
        <v>179</v>
      </c>
    </row>
    <row r="52" spans="3:9" x14ac:dyDescent="0.3">
      <c r="D52" s="39"/>
      <c r="E52" t="s">
        <v>220</v>
      </c>
    </row>
    <row r="53" spans="3:9" x14ac:dyDescent="0.3">
      <c r="D53" s="39"/>
      <c r="E53" t="s">
        <v>221</v>
      </c>
    </row>
    <row r="54" spans="3:9" x14ac:dyDescent="0.3">
      <c r="D54" s="39"/>
    </row>
    <row r="55" spans="3:9" x14ac:dyDescent="0.3">
      <c r="D55" s="39" t="s">
        <v>180</v>
      </c>
    </row>
    <row r="57" spans="3:9" x14ac:dyDescent="0.3">
      <c r="C57" s="9" t="s">
        <v>202</v>
      </c>
      <c r="D57" s="9" t="s">
        <v>203</v>
      </c>
      <c r="E57" s="9" t="s">
        <v>204</v>
      </c>
      <c r="F57" s="9" t="s">
        <v>205</v>
      </c>
      <c r="G57" s="9" t="s">
        <v>206</v>
      </c>
      <c r="I57" s="40" t="s">
        <v>213</v>
      </c>
    </row>
    <row r="58" spans="3:9" x14ac:dyDescent="0.3">
      <c r="C58" s="10">
        <v>101</v>
      </c>
      <c r="D58" s="10" t="s">
        <v>207</v>
      </c>
      <c r="E58" s="10" t="s">
        <v>39</v>
      </c>
      <c r="F58" s="10">
        <v>23</v>
      </c>
      <c r="G58" s="10" t="s">
        <v>210</v>
      </c>
      <c r="I58" t="str">
        <f>VLOOKUP(102, C57:G60, 2,0)</f>
        <v>Andy</v>
      </c>
    </row>
    <row r="59" spans="3:9" x14ac:dyDescent="0.3">
      <c r="C59" s="10">
        <v>102</v>
      </c>
      <c r="D59" s="10" t="s">
        <v>208</v>
      </c>
      <c r="E59" s="10" t="s">
        <v>39</v>
      </c>
      <c r="F59" s="10">
        <v>34</v>
      </c>
      <c r="G59" s="10" t="s">
        <v>211</v>
      </c>
    </row>
    <row r="60" spans="3:9" x14ac:dyDescent="0.3">
      <c r="C60" s="10">
        <v>103</v>
      </c>
      <c r="D60" s="10" t="s">
        <v>209</v>
      </c>
      <c r="E60" s="10" t="s">
        <v>40</v>
      </c>
      <c r="F60" s="10">
        <v>45</v>
      </c>
      <c r="G60" s="10" t="s">
        <v>212</v>
      </c>
      <c r="I60" s="40" t="s">
        <v>214</v>
      </c>
    </row>
    <row r="61" spans="3:9" x14ac:dyDescent="0.3">
      <c r="C61" s="10"/>
      <c r="D61" s="10"/>
      <c r="E61" s="10"/>
      <c r="F61" s="10"/>
      <c r="G61" s="10"/>
      <c r="I61" t="str">
        <f>VLOOKUP(102, C57:G60, 5, 0)</f>
        <v>NY</v>
      </c>
    </row>
    <row r="63" spans="3:9" x14ac:dyDescent="0.3">
      <c r="I63" s="39" t="s">
        <v>215</v>
      </c>
    </row>
    <row r="64" spans="3:9" x14ac:dyDescent="0.3">
      <c r="I64" t="e">
        <f>VLOOKUP("Andrea", C57:G60, 1, 0)</f>
        <v>#N/A</v>
      </c>
    </row>
    <row r="65" spans="2:9" x14ac:dyDescent="0.3">
      <c r="I65">
        <f>_xlfn.XLOOKUP("Andrea", D57:D60, C57:C60)</f>
        <v>103</v>
      </c>
    </row>
    <row r="67" spans="2:9" x14ac:dyDescent="0.3">
      <c r="C67" s="9" t="s">
        <v>202</v>
      </c>
      <c r="D67" s="10">
        <v>101</v>
      </c>
      <c r="E67" s="10">
        <v>102</v>
      </c>
      <c r="F67" s="10">
        <v>103</v>
      </c>
      <c r="H67" s="40" t="s">
        <v>213</v>
      </c>
    </row>
    <row r="68" spans="2:9" x14ac:dyDescent="0.3">
      <c r="C68" s="9" t="s">
        <v>203</v>
      </c>
      <c r="D68" s="10" t="s">
        <v>207</v>
      </c>
      <c r="E68" s="10" t="s">
        <v>208</v>
      </c>
      <c r="F68" s="10" t="s">
        <v>209</v>
      </c>
      <c r="I68" t="str">
        <f>HLOOKUP(102, C67:F71, 2, 0)</f>
        <v>Andy</v>
      </c>
    </row>
    <row r="69" spans="2:9" x14ac:dyDescent="0.3">
      <c r="C69" s="9" t="s">
        <v>204</v>
      </c>
      <c r="D69" s="10" t="s">
        <v>39</v>
      </c>
      <c r="E69" s="10" t="s">
        <v>39</v>
      </c>
      <c r="F69" s="10" t="s">
        <v>40</v>
      </c>
    </row>
    <row r="70" spans="2:9" x14ac:dyDescent="0.3">
      <c r="C70" s="9" t="s">
        <v>205</v>
      </c>
      <c r="D70" s="10">
        <v>23</v>
      </c>
      <c r="E70" s="10">
        <v>34</v>
      </c>
      <c r="F70" s="10">
        <v>45</v>
      </c>
      <c r="H70" s="39" t="s">
        <v>222</v>
      </c>
    </row>
    <row r="71" spans="2:9" x14ac:dyDescent="0.3">
      <c r="C71" s="9" t="s">
        <v>206</v>
      </c>
      <c r="D71" s="10" t="s">
        <v>210</v>
      </c>
      <c r="E71" s="10" t="s">
        <v>211</v>
      </c>
      <c r="F71" s="10" t="s">
        <v>212</v>
      </c>
      <c r="I71" t="e">
        <f>HLOOKUP("Andrea", C67:F71, 1, 0)</f>
        <v>#N/A</v>
      </c>
    </row>
    <row r="72" spans="2:9" x14ac:dyDescent="0.3">
      <c r="I72" t="str">
        <f>_xlfn.XLOOKUP("Adrea", C68:F68, C67:F67, "No Found",0)</f>
        <v>No Found</v>
      </c>
    </row>
    <row r="75" spans="2:9" x14ac:dyDescent="0.3">
      <c r="B75" s="2" t="s">
        <v>223</v>
      </c>
      <c r="C75" s="3"/>
    </row>
    <row r="77" spans="2:9" x14ac:dyDescent="0.3">
      <c r="C77" t="s">
        <v>224</v>
      </c>
    </row>
    <row r="78" spans="2:9" x14ac:dyDescent="0.3">
      <c r="D78" t="s">
        <v>225</v>
      </c>
    </row>
    <row r="79" spans="2:9" x14ac:dyDescent="0.3">
      <c r="D79" t="s">
        <v>226</v>
      </c>
    </row>
    <row r="81" spans="2:10" x14ac:dyDescent="0.3">
      <c r="C81" t="s">
        <v>227</v>
      </c>
    </row>
    <row r="82" spans="2:10" x14ac:dyDescent="0.3">
      <c r="D82" t="s">
        <v>228</v>
      </c>
      <c r="F82" t="s">
        <v>231</v>
      </c>
    </row>
    <row r="83" spans="2:10" x14ac:dyDescent="0.3">
      <c r="D83" t="s">
        <v>229</v>
      </c>
      <c r="F83" t="s">
        <v>232</v>
      </c>
    </row>
    <row r="84" spans="2:10" x14ac:dyDescent="0.3">
      <c r="D84" t="s">
        <v>230</v>
      </c>
      <c r="F84" t="s">
        <v>233</v>
      </c>
    </row>
    <row r="85" spans="2:10" x14ac:dyDescent="0.3">
      <c r="D85" t="s">
        <v>43</v>
      </c>
    </row>
    <row r="88" spans="2:10" x14ac:dyDescent="0.3">
      <c r="B88" s="2" t="s">
        <v>234</v>
      </c>
      <c r="C88" s="3"/>
    </row>
    <row r="90" spans="2:10" x14ac:dyDescent="0.3">
      <c r="E90">
        <v>290</v>
      </c>
      <c r="I90" s="42">
        <f>$E$91</f>
        <v>100</v>
      </c>
    </row>
    <row r="91" spans="2:10" ht="15.6" x14ac:dyDescent="0.3">
      <c r="D91">
        <v>200</v>
      </c>
      <c r="E91" s="41">
        <v>100</v>
      </c>
      <c r="F91">
        <v>900</v>
      </c>
      <c r="I91" s="42">
        <f>$E$91</f>
        <v>100</v>
      </c>
      <c r="J91" s="42">
        <f>$E$91</f>
        <v>100</v>
      </c>
    </row>
    <row r="92" spans="2:10" x14ac:dyDescent="0.3">
      <c r="E92">
        <v>789</v>
      </c>
      <c r="I92" s="42">
        <f>$E$91</f>
        <v>100</v>
      </c>
    </row>
    <row r="95" spans="2:10" x14ac:dyDescent="0.3">
      <c r="B95" s="2" t="s">
        <v>235</v>
      </c>
      <c r="C95" s="3"/>
    </row>
    <row r="97" spans="2:15" x14ac:dyDescent="0.3">
      <c r="C97" t="s">
        <v>236</v>
      </c>
    </row>
    <row r="99" spans="2:15" x14ac:dyDescent="0.3">
      <c r="B99" s="8" t="s">
        <v>240</v>
      </c>
      <c r="F99" s="8" t="s">
        <v>241</v>
      </c>
    </row>
    <row r="101" spans="2:15" x14ac:dyDescent="0.3">
      <c r="C101" s="9" t="s">
        <v>204</v>
      </c>
      <c r="F101" s="9" t="s">
        <v>205</v>
      </c>
      <c r="J101" s="9" t="s">
        <v>47</v>
      </c>
      <c r="L101" s="8" t="s">
        <v>242</v>
      </c>
    </row>
    <row r="102" spans="2:15" x14ac:dyDescent="0.3">
      <c r="C102" s="10" t="s">
        <v>237</v>
      </c>
      <c r="F102" s="10">
        <v>67</v>
      </c>
      <c r="J102" s="10">
        <v>130</v>
      </c>
      <c r="M102" cm="1">
        <f t="array" ref="M102:O102">SMALL(J102:J108, {1,2,3})</f>
        <v>121</v>
      </c>
      <c r="N102">
        <v>130</v>
      </c>
      <c r="O102">
        <v>146</v>
      </c>
    </row>
    <row r="103" spans="2:15" x14ac:dyDescent="0.3">
      <c r="C103" s="10" t="s">
        <v>238</v>
      </c>
      <c r="F103" s="10"/>
      <c r="J103" s="10">
        <v>121</v>
      </c>
    </row>
    <row r="104" spans="2:15" x14ac:dyDescent="0.3">
      <c r="C104" s="10" t="s">
        <v>239</v>
      </c>
      <c r="F104" s="10"/>
      <c r="J104" s="10">
        <v>153</v>
      </c>
      <c r="L104" s="8" t="s">
        <v>244</v>
      </c>
    </row>
    <row r="105" spans="2:15" x14ac:dyDescent="0.3">
      <c r="C105" s="10">
        <v>0</v>
      </c>
      <c r="F105" s="10"/>
      <c r="J105" s="10">
        <v>172</v>
      </c>
    </row>
    <row r="106" spans="2:15" x14ac:dyDescent="0.3">
      <c r="C106" s="10" t="s">
        <v>238</v>
      </c>
      <c r="F106" s="10"/>
      <c r="J106" s="10">
        <v>186</v>
      </c>
      <c r="M106" s="9" t="s">
        <v>47</v>
      </c>
      <c r="N106" s="9" t="s">
        <v>243</v>
      </c>
    </row>
    <row r="107" spans="2:15" x14ac:dyDescent="0.3">
      <c r="C107" s="10"/>
      <c r="F107" s="10"/>
      <c r="J107" s="10">
        <v>153</v>
      </c>
      <c r="M107" s="10">
        <v>130</v>
      </c>
      <c r="N107" s="10" t="b">
        <f xml:space="preserve"> $M107 &lt;= SMALL($M$107:$M$113, 3)</f>
        <v>1</v>
      </c>
    </row>
    <row r="108" spans="2:15" x14ac:dyDescent="0.3">
      <c r="C108" s="10"/>
      <c r="F108" s="10"/>
      <c r="J108" s="10">
        <v>146</v>
      </c>
      <c r="M108" s="10">
        <v>121</v>
      </c>
      <c r="N108" s="10" t="b">
        <f t="shared" ref="N108:N113" si="0" xml:space="preserve"> $M108 &lt;= SMALL($M$107:$M$113, 3)</f>
        <v>1</v>
      </c>
    </row>
    <row r="109" spans="2:15" x14ac:dyDescent="0.3">
      <c r="C109" s="10"/>
      <c r="F109" s="10"/>
      <c r="M109" s="10">
        <v>153</v>
      </c>
      <c r="N109" s="10" t="b">
        <f t="shared" si="0"/>
        <v>0</v>
      </c>
    </row>
    <row r="110" spans="2:15" x14ac:dyDescent="0.3">
      <c r="C110" s="10"/>
      <c r="F110" s="10"/>
      <c r="M110" s="10">
        <v>172</v>
      </c>
      <c r="N110" s="10" t="b">
        <f t="shared" si="0"/>
        <v>0</v>
      </c>
    </row>
    <row r="111" spans="2:15" x14ac:dyDescent="0.3">
      <c r="C111" s="10"/>
      <c r="F111" s="10"/>
      <c r="M111" s="10">
        <v>186</v>
      </c>
      <c r="N111" s="10" t="b">
        <f t="shared" si="0"/>
        <v>0</v>
      </c>
    </row>
    <row r="112" spans="2:15" x14ac:dyDescent="0.3">
      <c r="M112" s="10">
        <v>153</v>
      </c>
      <c r="N112" s="10" t="b">
        <f t="shared" si="0"/>
        <v>0</v>
      </c>
    </row>
    <row r="113" spans="2:14" x14ac:dyDescent="0.3">
      <c r="M113" s="10">
        <v>146</v>
      </c>
      <c r="N113" s="10" t="b">
        <f t="shared" si="0"/>
        <v>1</v>
      </c>
    </row>
    <row r="115" spans="2:14" x14ac:dyDescent="0.3">
      <c r="B115" s="2" t="s">
        <v>245</v>
      </c>
      <c r="C115" s="3"/>
    </row>
    <row r="117" spans="2:14" x14ac:dyDescent="0.3">
      <c r="C117" t="s">
        <v>246</v>
      </c>
    </row>
    <row r="118" spans="2:14" x14ac:dyDescent="0.3">
      <c r="D118" t="s">
        <v>247</v>
      </c>
    </row>
    <row r="121" spans="2:14" x14ac:dyDescent="0.3">
      <c r="B121" s="1" t="s">
        <v>254</v>
      </c>
      <c r="C121" s="9" t="s">
        <v>248</v>
      </c>
      <c r="D121" s="9" t="s">
        <v>252</v>
      </c>
      <c r="E121" s="9" t="s">
        <v>253</v>
      </c>
      <c r="F121" s="1" t="s">
        <v>47</v>
      </c>
      <c r="H121" s="1" t="s">
        <v>255</v>
      </c>
    </row>
    <row r="122" spans="2:14" x14ac:dyDescent="0.3">
      <c r="B122">
        <v>101</v>
      </c>
      <c r="C122" s="10" t="s">
        <v>249</v>
      </c>
      <c r="D122" s="10">
        <v>1</v>
      </c>
      <c r="E122" s="10">
        <v>20</v>
      </c>
      <c r="F122">
        <f>D122*E122</f>
        <v>20</v>
      </c>
      <c r="I122">
        <f>SUM(F122:F128)</f>
        <v>310</v>
      </c>
    </row>
    <row r="123" spans="2:14" x14ac:dyDescent="0.3">
      <c r="B123">
        <v>102</v>
      </c>
      <c r="C123" s="10" t="s">
        <v>250</v>
      </c>
      <c r="D123" s="10">
        <v>2</v>
      </c>
      <c r="E123" s="10">
        <v>30</v>
      </c>
      <c r="F123">
        <f t="shared" ref="F123:F128" si="1">D123*E123</f>
        <v>60</v>
      </c>
    </row>
    <row r="124" spans="2:14" x14ac:dyDescent="0.3">
      <c r="B124" t="s">
        <v>48</v>
      </c>
      <c r="C124" s="10" t="s">
        <v>251</v>
      </c>
      <c r="D124" s="10">
        <v>1</v>
      </c>
      <c r="E124" s="10">
        <v>10</v>
      </c>
      <c r="F124">
        <f t="shared" si="1"/>
        <v>10</v>
      </c>
      <c r="H124" t="s">
        <v>256</v>
      </c>
    </row>
    <row r="125" spans="2:14" x14ac:dyDescent="0.3">
      <c r="C125" s="10" t="s">
        <v>251</v>
      </c>
      <c r="D125" s="10">
        <v>3</v>
      </c>
      <c r="E125" s="10">
        <v>10</v>
      </c>
      <c r="F125">
        <f t="shared" si="1"/>
        <v>30</v>
      </c>
      <c r="I125">
        <f>SUMPRODUCT(D122:D128, E122:E128)</f>
        <v>310</v>
      </c>
    </row>
    <row r="126" spans="2:14" x14ac:dyDescent="0.3">
      <c r="C126" s="10" t="s">
        <v>249</v>
      </c>
      <c r="D126" s="10">
        <v>2</v>
      </c>
      <c r="E126" s="10">
        <v>20</v>
      </c>
      <c r="F126">
        <f t="shared" si="1"/>
        <v>40</v>
      </c>
    </row>
    <row r="127" spans="2:14" x14ac:dyDescent="0.3">
      <c r="C127" s="10" t="s">
        <v>250</v>
      </c>
      <c r="D127" s="10">
        <v>4</v>
      </c>
      <c r="E127" s="10">
        <v>30</v>
      </c>
      <c r="F127">
        <f t="shared" si="1"/>
        <v>120</v>
      </c>
    </row>
    <row r="128" spans="2:14" x14ac:dyDescent="0.3">
      <c r="C128" s="10" t="s">
        <v>250</v>
      </c>
      <c r="D128" s="10">
        <v>1</v>
      </c>
      <c r="E128" s="10">
        <v>30</v>
      </c>
      <c r="F128">
        <f t="shared" si="1"/>
        <v>30</v>
      </c>
    </row>
  </sheetData>
  <mergeCells count="2">
    <mergeCell ref="F34:I34"/>
    <mergeCell ref="D35:D38"/>
  </mergeCells>
  <dataValidations count="2">
    <dataValidation type="list" allowBlank="1" showInputMessage="1" showErrorMessage="1" errorTitle="Wrong Gender Selected!!!" error="Please choose from the drop down only." promptTitle="Select Gender:" prompt="Choose from the dropdown only" sqref="C102:C111" xr:uid="{E5589E4E-2B54-4D63-83E5-84C16E324B4F}">
      <formula1>"Male,Female,Others"</formula1>
    </dataValidation>
    <dataValidation type="whole" allowBlank="1" showInputMessage="1" showErrorMessage="1" errorTitle="Wrong Age!!" error="Please add age between 16 &amp; 70 only. In case of queries, contact 9876543221" promptTitle="Enter Age:" prompt="Age should be between 16 and 70 only" sqref="F102:F111" xr:uid="{29CA05A8-7887-4826-9DCF-08E644B27E30}">
      <formula1>16</formula1>
      <formula2>70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4D51-0FA2-402B-9E39-0DB488D96F80}">
  <dimension ref="B2:J119"/>
  <sheetViews>
    <sheetView topLeftCell="A46" zoomScale="130" zoomScaleNormal="130" workbookViewId="0">
      <selection activeCell="C60" sqref="C59:F66"/>
    </sheetView>
  </sheetViews>
  <sheetFormatPr defaultRowHeight="14.4" x14ac:dyDescent="0.3"/>
  <cols>
    <col min="2" max="2" width="14" bestFit="1" customWidth="1"/>
    <col min="3" max="3" width="17.88671875" customWidth="1"/>
    <col min="4" max="4" width="12.6640625" bestFit="1" customWidth="1"/>
    <col min="5" max="5" width="12.44140625" bestFit="1" customWidth="1"/>
    <col min="6" max="6" width="14" bestFit="1" customWidth="1"/>
    <col min="7" max="7" width="11.6640625" bestFit="1" customWidth="1"/>
    <col min="8" max="8" width="16.5546875" customWidth="1"/>
    <col min="9" max="9" width="14.88671875" customWidth="1"/>
    <col min="10" max="10" width="10.44140625" bestFit="1" customWidth="1"/>
  </cols>
  <sheetData>
    <row r="2" spans="2:10" x14ac:dyDescent="0.3">
      <c r="B2" s="43">
        <v>45898</v>
      </c>
      <c r="C2" s="3"/>
    </row>
    <row r="4" spans="2:10" x14ac:dyDescent="0.3">
      <c r="B4" s="6" t="s">
        <v>257</v>
      </c>
    </row>
    <row r="5" spans="2:10" x14ac:dyDescent="0.3">
      <c r="C5" t="s">
        <v>258</v>
      </c>
      <c r="F5" t="s">
        <v>269</v>
      </c>
    </row>
    <row r="6" spans="2:10" x14ac:dyDescent="0.3">
      <c r="D6" t="s">
        <v>259</v>
      </c>
      <c r="G6" t="s">
        <v>270</v>
      </c>
    </row>
    <row r="7" spans="2:10" x14ac:dyDescent="0.3">
      <c r="D7" t="s">
        <v>260</v>
      </c>
    </row>
    <row r="8" spans="2:10" x14ac:dyDescent="0.3">
      <c r="D8" t="s">
        <v>262</v>
      </c>
    </row>
    <row r="9" spans="2:10" x14ac:dyDescent="0.3">
      <c r="D9" t="s">
        <v>261</v>
      </c>
    </row>
    <row r="11" spans="2:10" x14ac:dyDescent="0.3">
      <c r="C11" t="s">
        <v>263</v>
      </c>
    </row>
    <row r="12" spans="2:10" x14ac:dyDescent="0.3">
      <c r="D12" t="s">
        <v>264</v>
      </c>
    </row>
    <row r="13" spans="2:10" x14ac:dyDescent="0.3">
      <c r="J13">
        <f ca="1">YEAR(TODAY() )</f>
        <v>2025</v>
      </c>
    </row>
    <row r="14" spans="2:10" x14ac:dyDescent="0.3">
      <c r="C14" t="s">
        <v>265</v>
      </c>
      <c r="J14" s="24">
        <f ca="1">TODAY()</f>
        <v>45901</v>
      </c>
    </row>
    <row r="15" spans="2:10" x14ac:dyDescent="0.3">
      <c r="D15" t="s">
        <v>266</v>
      </c>
    </row>
    <row r="16" spans="2:10" x14ac:dyDescent="0.3">
      <c r="D16" t="s">
        <v>267</v>
      </c>
    </row>
    <row r="18" spans="2:9" x14ac:dyDescent="0.3">
      <c r="C18" t="s">
        <v>268</v>
      </c>
    </row>
    <row r="20" spans="2:9" x14ac:dyDescent="0.3">
      <c r="B20" s="1" t="s">
        <v>272</v>
      </c>
    </row>
    <row r="21" spans="2:9" x14ac:dyDescent="0.3">
      <c r="C21" t="s">
        <v>273</v>
      </c>
    </row>
    <row r="22" spans="2:9" x14ac:dyDescent="0.3">
      <c r="C22" t="s">
        <v>274</v>
      </c>
    </row>
    <row r="23" spans="2:9" x14ac:dyDescent="0.3">
      <c r="C23" t="s">
        <v>275</v>
      </c>
    </row>
    <row r="24" spans="2:9" x14ac:dyDescent="0.3">
      <c r="C24" t="s">
        <v>276</v>
      </c>
    </row>
    <row r="25" spans="2:9" x14ac:dyDescent="0.3">
      <c r="D25" t="s">
        <v>327</v>
      </c>
    </row>
    <row r="26" spans="2:9" x14ac:dyDescent="0.3">
      <c r="G26" s="1" t="s">
        <v>127</v>
      </c>
      <c r="H26" s="1" t="s">
        <v>278</v>
      </c>
      <c r="I26" s="1" t="s">
        <v>279</v>
      </c>
    </row>
    <row r="27" spans="2:9" x14ac:dyDescent="0.3">
      <c r="C27" t="s">
        <v>271</v>
      </c>
      <c r="G27" t="str">
        <f>LEFT($C27, FIND(" ", $C27)-1)</f>
        <v>Sachin</v>
      </c>
      <c r="H27" t="str">
        <f>IFERROR( MID(C27, FIND(" ", C27)+1, FIND(" ", C27, FIND(" ", C27)+1) - FIND(" ", C27)-1 ), "")</f>
        <v>Ramesh</v>
      </c>
      <c r="I27" t="str">
        <f>TRIM( RIGHT(C27, LEN(C27) - LEN(G27) - LEN(H27)-1))</f>
        <v>Tendulkar</v>
      </c>
    </row>
    <row r="28" spans="2:9" x14ac:dyDescent="0.3">
      <c r="C28" t="s">
        <v>277</v>
      </c>
      <c r="G28" t="str">
        <f>LEFT($C28, FIND(" ", $C28)-1)</f>
        <v>Sania</v>
      </c>
      <c r="H28" t="str">
        <f>IFERROR( MID(C28, FIND(" ", C28)+1, FIND(" ", C28, FIND(" ", C28)+1) - FIND(" ", C28)-1 ), "")</f>
        <v/>
      </c>
      <c r="I28" t="str">
        <f>TRIM( RIGHT(C28, LEN(C28) - LEN(G28) - LEN(H28)-1))</f>
        <v>Mirza</v>
      </c>
    </row>
    <row r="31" spans="2:9" x14ac:dyDescent="0.3">
      <c r="C31" t="s">
        <v>280</v>
      </c>
      <c r="D31">
        <f>FIND(" ", C27, FIND(" ", C27)+1)</f>
        <v>14</v>
      </c>
    </row>
    <row r="34" spans="2:8" x14ac:dyDescent="0.3">
      <c r="B34" s="2" t="s">
        <v>281</v>
      </c>
      <c r="C34" s="3"/>
      <c r="D34" s="3"/>
    </row>
    <row r="36" spans="2:8" x14ac:dyDescent="0.3">
      <c r="C36" t="s">
        <v>282</v>
      </c>
    </row>
    <row r="37" spans="2:8" x14ac:dyDescent="0.3">
      <c r="D37" s="39" t="s">
        <v>283</v>
      </c>
    </row>
    <row r="38" spans="2:8" x14ac:dyDescent="0.3">
      <c r="D38" t="s">
        <v>284</v>
      </c>
      <c r="H38" t="s">
        <v>286</v>
      </c>
    </row>
    <row r="39" spans="2:8" x14ac:dyDescent="0.3">
      <c r="D39" t="s">
        <v>285</v>
      </c>
      <c r="H39" t="s">
        <v>287</v>
      </c>
    </row>
    <row r="40" spans="2:8" x14ac:dyDescent="0.3">
      <c r="H40" t="s">
        <v>288</v>
      </c>
    </row>
    <row r="41" spans="2:8" x14ac:dyDescent="0.3">
      <c r="H41" t="s">
        <v>289</v>
      </c>
    </row>
    <row r="43" spans="2:8" ht="15" thickBot="1" x14ac:dyDescent="0.35"/>
    <row r="44" spans="2:8" ht="16.2" customHeight="1" thickBot="1" x14ac:dyDescent="0.35">
      <c r="C44" s="50" t="s">
        <v>290</v>
      </c>
      <c r="D44" s="51" t="s">
        <v>291</v>
      </c>
      <c r="E44" s="52" t="s">
        <v>292</v>
      </c>
      <c r="F44" s="53" t="s">
        <v>293</v>
      </c>
      <c r="H44" s="57" t="s">
        <v>313</v>
      </c>
    </row>
    <row r="45" spans="2:8" x14ac:dyDescent="0.3">
      <c r="C45" s="44" t="s">
        <v>294</v>
      </c>
      <c r="D45" s="45" t="s">
        <v>295</v>
      </c>
      <c r="E45" s="45" t="s">
        <v>296</v>
      </c>
      <c r="F45" s="46">
        <v>12.478446999999999</v>
      </c>
      <c r="H45" s="54" t="s">
        <v>314</v>
      </c>
    </row>
    <row r="46" spans="2:8" x14ac:dyDescent="0.3">
      <c r="C46" s="47" t="s">
        <v>297</v>
      </c>
      <c r="D46" s="48" t="s">
        <v>298</v>
      </c>
      <c r="E46" s="48" t="s">
        <v>298</v>
      </c>
      <c r="F46" s="49">
        <v>11.007835</v>
      </c>
    </row>
    <row r="47" spans="2:8" x14ac:dyDescent="0.3">
      <c r="C47" s="47" t="s">
        <v>294</v>
      </c>
      <c r="D47" s="48" t="s">
        <v>299</v>
      </c>
      <c r="E47" s="48" t="s">
        <v>300</v>
      </c>
      <c r="F47" s="49">
        <v>5.5705850000000003</v>
      </c>
      <c r="H47" s="56" t="s">
        <v>315</v>
      </c>
    </row>
    <row r="48" spans="2:8" x14ac:dyDescent="0.3">
      <c r="C48" s="47" t="s">
        <v>301</v>
      </c>
      <c r="D48" s="48" t="s">
        <v>302</v>
      </c>
      <c r="E48" s="48" t="s">
        <v>303</v>
      </c>
      <c r="F48" s="49">
        <v>4.4866789999999996</v>
      </c>
      <c r="H48" s="54" t="s">
        <v>316</v>
      </c>
    </row>
    <row r="49" spans="3:8" x14ac:dyDescent="0.3">
      <c r="C49" s="47" t="s">
        <v>304</v>
      </c>
      <c r="D49" s="48" t="s">
        <v>299</v>
      </c>
      <c r="E49" s="48" t="s">
        <v>305</v>
      </c>
      <c r="F49" s="49">
        <v>4.462002</v>
      </c>
    </row>
    <row r="50" spans="3:8" x14ac:dyDescent="0.3">
      <c r="C50" s="47" t="s">
        <v>306</v>
      </c>
      <c r="D50" s="48" t="s">
        <v>295</v>
      </c>
      <c r="E50" s="48" t="s">
        <v>307</v>
      </c>
      <c r="F50" s="49">
        <v>3.1154310000000001</v>
      </c>
    </row>
    <row r="51" spans="3:8" x14ac:dyDescent="0.3">
      <c r="C51" s="47" t="s">
        <v>308</v>
      </c>
      <c r="D51" s="48" t="s">
        <v>309</v>
      </c>
      <c r="E51" s="48" t="s">
        <v>310</v>
      </c>
      <c r="F51" s="49">
        <v>3.1733500000000001</v>
      </c>
    </row>
    <row r="53" spans="3:8" x14ac:dyDescent="0.3">
      <c r="C53" s="56" t="s">
        <v>311</v>
      </c>
    </row>
    <row r="54" spans="3:8" x14ac:dyDescent="0.3">
      <c r="D54">
        <f>MATCH("C7",C44:C51, 0)</f>
        <v>8</v>
      </c>
      <c r="E54" s="58" t="s">
        <v>317</v>
      </c>
      <c r="G54" t="str" cm="1">
        <f t="array" ref="G54">INDEX($C$44:$F$51, D54, D57)</f>
        <v>Jaipur</v>
      </c>
      <c r="H54" s="12" t="s">
        <v>319</v>
      </c>
    </row>
    <row r="56" spans="3:8" x14ac:dyDescent="0.3">
      <c r="C56" s="55" t="s">
        <v>312</v>
      </c>
    </row>
    <row r="57" spans="3:8" x14ac:dyDescent="0.3">
      <c r="D57">
        <f>MATCH("Cities", C44:F44, 0)</f>
        <v>3</v>
      </c>
      <c r="E57" s="12" t="s">
        <v>318</v>
      </c>
    </row>
    <row r="58" spans="3:8" ht="15" thickBot="1" x14ac:dyDescent="0.35"/>
    <row r="59" spans="3:8" ht="15" thickBot="1" x14ac:dyDescent="0.35">
      <c r="C59" s="50" t="s">
        <v>290</v>
      </c>
      <c r="D59" s="51" t="s">
        <v>291</v>
      </c>
      <c r="E59" s="52" t="s">
        <v>292</v>
      </c>
      <c r="F59" s="53" t="s">
        <v>293</v>
      </c>
    </row>
    <row r="60" spans="3:8" x14ac:dyDescent="0.3">
      <c r="C60" s="59" t="s">
        <v>294</v>
      </c>
      <c r="D60" s="60" t="s">
        <v>295</v>
      </c>
      <c r="E60" s="60" t="s">
        <v>296</v>
      </c>
      <c r="F60" s="61">
        <v>12.478446999999999</v>
      </c>
    </row>
    <row r="61" spans="3:8" x14ac:dyDescent="0.3">
      <c r="C61" s="62" t="s">
        <v>297</v>
      </c>
      <c r="D61" s="63" t="s">
        <v>298</v>
      </c>
      <c r="E61" s="63" t="s">
        <v>298</v>
      </c>
      <c r="F61" s="64">
        <v>11.007835</v>
      </c>
    </row>
    <row r="62" spans="3:8" x14ac:dyDescent="0.3">
      <c r="C62" s="62" t="s">
        <v>294</v>
      </c>
      <c r="D62" s="63" t="s">
        <v>299</v>
      </c>
      <c r="E62" s="63" t="s">
        <v>300</v>
      </c>
      <c r="F62" s="64">
        <v>5.5705850000000003</v>
      </c>
    </row>
    <row r="63" spans="3:8" x14ac:dyDescent="0.3">
      <c r="C63" s="62" t="s">
        <v>301</v>
      </c>
      <c r="D63" s="63" t="s">
        <v>302</v>
      </c>
      <c r="E63" s="63" t="s">
        <v>303</v>
      </c>
      <c r="F63" s="64">
        <v>4.4866789999999996</v>
      </c>
    </row>
    <row r="64" spans="3:8" x14ac:dyDescent="0.3">
      <c r="C64" s="62" t="s">
        <v>304</v>
      </c>
      <c r="D64" s="63" t="s">
        <v>299</v>
      </c>
      <c r="E64" s="63" t="s">
        <v>305</v>
      </c>
      <c r="F64" s="64">
        <v>4.462002</v>
      </c>
    </row>
    <row r="65" spans="2:6" x14ac:dyDescent="0.3">
      <c r="C65" s="62" t="s">
        <v>306</v>
      </c>
      <c r="D65" s="63" t="s">
        <v>295</v>
      </c>
      <c r="E65" s="63" t="s">
        <v>307</v>
      </c>
      <c r="F65" s="64">
        <v>3.1154310000000001</v>
      </c>
    </row>
    <row r="66" spans="2:6" x14ac:dyDescent="0.3">
      <c r="C66" s="62" t="s">
        <v>308</v>
      </c>
      <c r="D66" s="63" t="s">
        <v>309</v>
      </c>
      <c r="E66" s="63" t="s">
        <v>310</v>
      </c>
      <c r="F66" s="64">
        <v>3.1733500000000001</v>
      </c>
    </row>
    <row r="68" spans="2:6" x14ac:dyDescent="0.3">
      <c r="C68" s="65" t="s">
        <v>320</v>
      </c>
    </row>
    <row r="70" spans="2:6" x14ac:dyDescent="0.3">
      <c r="D70" s="66" t="s">
        <v>321</v>
      </c>
      <c r="E70" s="67" t="s">
        <v>307</v>
      </c>
    </row>
    <row r="72" spans="2:6" x14ac:dyDescent="0.3">
      <c r="D72" s="9" t="s">
        <v>290</v>
      </c>
      <c r="E72" s="38" t="str">
        <f>INDEX($C$59:$F$66, MATCH($E$70, $E$59:$E$66, 0), MATCH($D72, $C$59:$F$59, 0) )</f>
        <v>C6</v>
      </c>
    </row>
    <row r="73" spans="2:6" x14ac:dyDescent="0.3">
      <c r="D73" s="9" t="s">
        <v>291</v>
      </c>
      <c r="E73" s="38" t="str">
        <f>INDEX($C$59:$F$66, MATCH($E$70, $E$59:$E$66, 0), MATCH($D73, $C$59:$F$59, 0) )</f>
        <v>Maharashtra</v>
      </c>
    </row>
    <row r="75" spans="2:6" x14ac:dyDescent="0.3">
      <c r="C75" s="8" t="s">
        <v>322</v>
      </c>
    </row>
    <row r="76" spans="2:6" x14ac:dyDescent="0.3">
      <c r="D76">
        <f>VLOOKUP("C5", $C$59:$F$66, MATCH($F$59, $C$59:$F$59, 0) )</f>
        <v>4.462002</v>
      </c>
    </row>
    <row r="78" spans="2:6" x14ac:dyDescent="0.3">
      <c r="B78" s="2" t="s">
        <v>323</v>
      </c>
      <c r="C78" s="3"/>
    </row>
    <row r="79" spans="2:6" x14ac:dyDescent="0.3">
      <c r="D79" s="91" t="s">
        <v>195</v>
      </c>
      <c r="E79" s="91"/>
    </row>
    <row r="80" spans="2:6" x14ac:dyDescent="0.3">
      <c r="C80" s="9" t="s">
        <v>324</v>
      </c>
      <c r="D80" s="9" t="s">
        <v>325</v>
      </c>
      <c r="E80" s="9" t="s">
        <v>326</v>
      </c>
    </row>
    <row r="81" spans="2:6" x14ac:dyDescent="0.3">
      <c r="C81" s="28">
        <v>36872</v>
      </c>
      <c r="D81" s="10" t="str" cm="1">
        <f t="array" ref="D81">_xlfn.IFS( MONTH($C81) &lt;= 3, "Q1", MONTH($C81) &lt;= 6, "Q2", MONTH($C81) &lt;= 9, "Q3", MONTH($C81) &lt;= 12, "Q4")</f>
        <v>Q4</v>
      </c>
      <c r="E81" s="10" t="str" cm="1">
        <f t="array" ref="E81">_xlfn.IFS( MONTH($C81) &lt;= 3, "Q4", MONTH(C81)&lt;= 6, "Q1", MONTH(C81) &lt;= 9, "Q2", MONTH(C81) &lt;= 12, "Q3")</f>
        <v>Q3</v>
      </c>
    </row>
    <row r="82" spans="2:6" x14ac:dyDescent="0.3">
      <c r="C82" s="28">
        <v>45169</v>
      </c>
      <c r="D82" s="10" t="str" cm="1">
        <f t="array" ref="D82">_xlfn.IFS( MONTH($C82) &lt;= 3, "Q1", MONTH($C82) &lt;= 6, "Q2", MONTH($C82) &lt;= 9, "Q3", MONTH($C82) &lt;= 12, "Q4")</f>
        <v>Q3</v>
      </c>
      <c r="E82" s="10" t="str" cm="1">
        <f t="array" ref="E82">_xlfn.IFS( MONTH($C82) &lt;= 3, "Q4", MONTH(C82)&lt;= 6, "Q1", MONTH(C82) &lt;= 9, "Q2", MONTH(C82) &lt;= 12, "Q3")</f>
        <v>Q2</v>
      </c>
    </row>
    <row r="83" spans="2:6" x14ac:dyDescent="0.3">
      <c r="C83" s="28">
        <v>36161</v>
      </c>
      <c r="D83" s="10" t="str" cm="1">
        <f t="array" ref="D83">_xlfn.IFS( MONTH($C83) &lt;= 3, "Q1", MONTH($C83) &lt;= 6, "Q2", MONTH($C83) &lt;= 9, "Q3", MONTH($C83) &lt;= 12, "Q4")</f>
        <v>Q1</v>
      </c>
      <c r="E83" s="10" t="str" cm="1">
        <f t="array" ref="E83">_xlfn.IFS( MONTH($C83) &lt;= 3, "Q4", MONTH(C83)&lt;= 6, "Q1", MONTH(C83) &lt;= 9, "Q2", MONTH(C83) &lt;= 12, "Q3")</f>
        <v>Q4</v>
      </c>
    </row>
    <row r="84" spans="2:6" x14ac:dyDescent="0.3">
      <c r="C84" s="28">
        <v>36805</v>
      </c>
      <c r="D84" s="10" t="str" cm="1">
        <f t="array" ref="D84">_xlfn.IFS( MONTH($C84) &lt;= 3, "Q1", MONTH($C84) &lt;= 6, "Q2", MONTH($C84) &lt;= 9, "Q3", MONTH($C84) &lt;= 12, "Q4")</f>
        <v>Q4</v>
      </c>
      <c r="E84" s="10" t="str" cm="1">
        <f t="array" ref="E84">_xlfn.IFS( MONTH($C84) &lt;= 3, "Q4", MONTH(C84)&lt;= 6, "Q1", MONTH(C84) &lt;= 9, "Q2", MONTH(C84) &lt;= 12, "Q3")</f>
        <v>Q3</v>
      </c>
    </row>
    <row r="85" spans="2:6" x14ac:dyDescent="0.3">
      <c r="C85" s="28">
        <v>45781</v>
      </c>
      <c r="D85" s="10" t="str" cm="1">
        <f t="array" ref="D85">_xlfn.IFS( MONTH($C85) &lt;= 3, "Q1", MONTH($C85) &lt;= 6, "Q2", MONTH($C85) &lt;= 9, "Q3", MONTH($C85) &lt;= 12, "Q4")</f>
        <v>Q2</v>
      </c>
      <c r="E85" s="10" t="str" cm="1">
        <f t="array" ref="E85">_xlfn.IFS( MONTH($C85) &lt;= 3, "Q4", MONTH(C85)&lt;= 6, "Q1", MONTH(C85) &lt;= 9, "Q2", MONTH(C85) &lt;= 12, "Q3")</f>
        <v>Q1</v>
      </c>
    </row>
    <row r="87" spans="2:6" x14ac:dyDescent="0.3">
      <c r="B87" s="2" t="s">
        <v>352</v>
      </c>
      <c r="C87" s="3"/>
      <c r="D87" s="3"/>
    </row>
    <row r="88" spans="2:6" x14ac:dyDescent="0.3">
      <c r="F88" t="s">
        <v>355</v>
      </c>
    </row>
    <row r="89" spans="2:6" x14ac:dyDescent="0.3">
      <c r="C89" t="s">
        <v>353</v>
      </c>
      <c r="F89" t="s">
        <v>356</v>
      </c>
    </row>
    <row r="90" spans="2:6" x14ac:dyDescent="0.3">
      <c r="F90" t="s">
        <v>357</v>
      </c>
    </row>
    <row r="91" spans="2:6" ht="15" thickBot="1" x14ac:dyDescent="0.35"/>
    <row r="92" spans="2:6" ht="15" thickBot="1" x14ac:dyDescent="0.35">
      <c r="B92" s="68" t="s">
        <v>328</v>
      </c>
      <c r="C92" s="69" t="s">
        <v>329</v>
      </c>
      <c r="D92" s="69" t="s">
        <v>47</v>
      </c>
      <c r="E92" s="69" t="s">
        <v>330</v>
      </c>
      <c r="F92" s="70" t="s">
        <v>331</v>
      </c>
    </row>
    <row r="93" spans="2:6" x14ac:dyDescent="0.3">
      <c r="B93" s="71" t="s">
        <v>332</v>
      </c>
      <c r="C93" s="72" t="s">
        <v>333</v>
      </c>
      <c r="D93" s="72">
        <v>900</v>
      </c>
      <c r="E93" s="72" t="s">
        <v>334</v>
      </c>
      <c r="F93" s="73">
        <v>42069</v>
      </c>
    </row>
    <row r="94" spans="2:6" x14ac:dyDescent="0.3">
      <c r="B94" s="74" t="s">
        <v>335</v>
      </c>
      <c r="C94" s="10" t="s">
        <v>336</v>
      </c>
      <c r="D94" s="10">
        <v>753</v>
      </c>
      <c r="E94" s="10" t="s">
        <v>337</v>
      </c>
      <c r="F94" s="30">
        <v>41732</v>
      </c>
    </row>
    <row r="95" spans="2:6" x14ac:dyDescent="0.3">
      <c r="B95" s="74" t="s">
        <v>335</v>
      </c>
      <c r="C95" s="10" t="s">
        <v>338</v>
      </c>
      <c r="D95" s="10">
        <v>755</v>
      </c>
      <c r="E95" s="10" t="s">
        <v>339</v>
      </c>
      <c r="F95" s="30">
        <v>42042</v>
      </c>
    </row>
    <row r="96" spans="2:6" x14ac:dyDescent="0.3">
      <c r="B96" s="74" t="s">
        <v>332</v>
      </c>
      <c r="C96" s="10" t="s">
        <v>340</v>
      </c>
      <c r="D96" s="10">
        <v>757</v>
      </c>
      <c r="E96" s="10" t="s">
        <v>341</v>
      </c>
      <c r="F96" s="30">
        <v>42324</v>
      </c>
    </row>
    <row r="97" spans="2:7" x14ac:dyDescent="0.3">
      <c r="B97" s="74" t="s">
        <v>335</v>
      </c>
      <c r="C97" s="10" t="s">
        <v>338</v>
      </c>
      <c r="D97" s="10">
        <v>757</v>
      </c>
      <c r="E97" s="10" t="s">
        <v>342</v>
      </c>
      <c r="F97" s="30">
        <v>42300</v>
      </c>
    </row>
    <row r="98" spans="2:7" x14ac:dyDescent="0.3">
      <c r="B98" s="74" t="s">
        <v>343</v>
      </c>
      <c r="C98" s="10" t="s">
        <v>344</v>
      </c>
      <c r="D98" s="10">
        <v>772</v>
      </c>
      <c r="E98" s="10" t="s">
        <v>345</v>
      </c>
      <c r="F98" s="30">
        <v>42001</v>
      </c>
    </row>
    <row r="99" spans="2:7" x14ac:dyDescent="0.3">
      <c r="B99" s="74" t="s">
        <v>332</v>
      </c>
      <c r="C99" s="10" t="s">
        <v>346</v>
      </c>
      <c r="D99" s="10">
        <v>773</v>
      </c>
      <c r="E99" s="10" t="s">
        <v>337</v>
      </c>
      <c r="F99" s="30">
        <v>42096</v>
      </c>
    </row>
    <row r="100" spans="2:7" x14ac:dyDescent="0.3">
      <c r="B100" s="74" t="s">
        <v>343</v>
      </c>
      <c r="C100" s="10" t="s">
        <v>347</v>
      </c>
      <c r="D100" s="10">
        <v>781</v>
      </c>
      <c r="E100" s="10" t="s">
        <v>337</v>
      </c>
      <c r="F100" s="30">
        <v>41870</v>
      </c>
    </row>
    <row r="101" spans="2:7" x14ac:dyDescent="0.3">
      <c r="B101" s="74" t="s">
        <v>335</v>
      </c>
      <c r="C101" s="10" t="s">
        <v>348</v>
      </c>
      <c r="D101" s="10">
        <v>784</v>
      </c>
      <c r="E101" s="10" t="s">
        <v>349</v>
      </c>
      <c r="F101" s="30">
        <v>42241</v>
      </c>
    </row>
    <row r="102" spans="2:7" x14ac:dyDescent="0.3">
      <c r="B102" s="74" t="s">
        <v>350</v>
      </c>
      <c r="C102" s="10" t="s">
        <v>351</v>
      </c>
      <c r="D102" s="10">
        <v>785</v>
      </c>
      <c r="E102" s="10" t="s">
        <v>345</v>
      </c>
      <c r="F102" s="30">
        <v>41920</v>
      </c>
    </row>
    <row r="104" spans="2:7" x14ac:dyDescent="0.3">
      <c r="B104" s="8" t="s">
        <v>354</v>
      </c>
      <c r="F104" s="8" t="s">
        <v>363</v>
      </c>
    </row>
    <row r="106" spans="2:7" x14ac:dyDescent="0.3">
      <c r="B106" s="75" t="s">
        <v>248</v>
      </c>
      <c r="C106" t="s">
        <v>362</v>
      </c>
      <c r="F106" s="75" t="s">
        <v>358</v>
      </c>
      <c r="G106" t="s">
        <v>360</v>
      </c>
    </row>
    <row r="107" spans="2:7" x14ac:dyDescent="0.3">
      <c r="B107" s="76" t="s">
        <v>332</v>
      </c>
      <c r="C107">
        <v>2430</v>
      </c>
      <c r="F107" s="76" t="s">
        <v>332</v>
      </c>
      <c r="G107">
        <v>2430</v>
      </c>
    </row>
    <row r="108" spans="2:7" x14ac:dyDescent="0.3">
      <c r="B108" s="76" t="s">
        <v>343</v>
      </c>
      <c r="C108">
        <v>1553</v>
      </c>
      <c r="F108" s="76" t="s">
        <v>343</v>
      </c>
      <c r="G108">
        <v>1553</v>
      </c>
    </row>
    <row r="109" spans="2:7" x14ac:dyDescent="0.3">
      <c r="B109" s="76" t="s">
        <v>335</v>
      </c>
      <c r="C109">
        <v>3049</v>
      </c>
      <c r="F109" s="76" t="s">
        <v>335</v>
      </c>
      <c r="G109">
        <v>3049</v>
      </c>
    </row>
    <row r="110" spans="2:7" x14ac:dyDescent="0.3">
      <c r="B110" s="76" t="s">
        <v>350</v>
      </c>
      <c r="C110">
        <v>785</v>
      </c>
      <c r="F110" s="76" t="s">
        <v>350</v>
      </c>
      <c r="G110">
        <v>785</v>
      </c>
    </row>
    <row r="111" spans="2:7" x14ac:dyDescent="0.3">
      <c r="B111" s="76" t="s">
        <v>359</v>
      </c>
      <c r="C111">
        <v>7817</v>
      </c>
      <c r="F111" s="76" t="s">
        <v>359</v>
      </c>
      <c r="G111">
        <v>7817</v>
      </c>
    </row>
    <row r="113" spans="2:3" x14ac:dyDescent="0.3">
      <c r="B113" s="77" t="s">
        <v>364</v>
      </c>
    </row>
    <row r="115" spans="2:3" x14ac:dyDescent="0.3">
      <c r="B115" s="75" t="s">
        <v>358</v>
      </c>
      <c r="C115" t="s">
        <v>360</v>
      </c>
    </row>
    <row r="116" spans="2:3" x14ac:dyDescent="0.3">
      <c r="B116" s="76" t="s">
        <v>332</v>
      </c>
      <c r="C116">
        <v>2430</v>
      </c>
    </row>
    <row r="117" spans="2:3" x14ac:dyDescent="0.3">
      <c r="B117" s="76" t="s">
        <v>343</v>
      </c>
      <c r="C117">
        <v>1553</v>
      </c>
    </row>
    <row r="118" spans="2:3" x14ac:dyDescent="0.3">
      <c r="B118" s="76" t="s">
        <v>335</v>
      </c>
      <c r="C118">
        <v>3049</v>
      </c>
    </row>
    <row r="119" spans="2:3" x14ac:dyDescent="0.3">
      <c r="B119" s="76" t="s">
        <v>359</v>
      </c>
      <c r="C119">
        <v>7032</v>
      </c>
    </row>
  </sheetData>
  <mergeCells count="1">
    <mergeCell ref="D79:E79"/>
  </mergeCells>
  <dataValidations count="1">
    <dataValidation type="list" allowBlank="1" showInputMessage="1" showErrorMessage="1" sqref="E70" xr:uid="{8A0EB624-6E46-4930-BA06-456F4C4BE62B}">
      <formula1>$E$60:$E$66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6C47-1941-4C93-A0BB-2375308DC768}">
  <dimension ref="A1:F699"/>
  <sheetViews>
    <sheetView topLeftCell="A680" zoomScale="130" zoomScaleNormal="130" workbookViewId="0">
      <selection activeCell="C12" sqref="A1:F699"/>
    </sheetView>
  </sheetViews>
  <sheetFormatPr defaultRowHeight="14.4" x14ac:dyDescent="0.3"/>
  <cols>
    <col min="1" max="1" width="13.77734375" bestFit="1" customWidth="1"/>
    <col min="2" max="2" width="32.77734375" bestFit="1" customWidth="1"/>
    <col min="3" max="3" width="5.21875" bestFit="1" customWidth="1"/>
    <col min="4" max="4" width="14.21875" bestFit="1" customWidth="1"/>
    <col min="5" max="5" width="15.33203125" bestFit="1" customWidth="1"/>
    <col min="6" max="6" width="7.44140625" bestFit="1" customWidth="1"/>
  </cols>
  <sheetData>
    <row r="1" spans="1:6" ht="15" thickBot="1" x14ac:dyDescent="0.35">
      <c r="A1" s="68" t="s">
        <v>328</v>
      </c>
      <c r="B1" s="69" t="s">
        <v>329</v>
      </c>
      <c r="C1" s="69" t="s">
        <v>47</v>
      </c>
      <c r="D1" s="69" t="s">
        <v>330</v>
      </c>
      <c r="E1" s="70" t="s">
        <v>331</v>
      </c>
      <c r="F1" s="78" t="s">
        <v>365</v>
      </c>
    </row>
    <row r="2" spans="1:6" x14ac:dyDescent="0.3">
      <c r="A2" s="71" t="s">
        <v>332</v>
      </c>
      <c r="B2" s="72" t="s">
        <v>333</v>
      </c>
      <c r="C2" s="72">
        <v>748</v>
      </c>
      <c r="D2" s="72" t="s">
        <v>334</v>
      </c>
      <c r="E2" s="73">
        <v>42069</v>
      </c>
      <c r="F2" s="79" t="s">
        <v>366</v>
      </c>
    </row>
    <row r="3" spans="1:6" x14ac:dyDescent="0.3">
      <c r="A3" s="74" t="s">
        <v>335</v>
      </c>
      <c r="B3" s="10" t="s">
        <v>336</v>
      </c>
      <c r="C3" s="10">
        <v>753</v>
      </c>
      <c r="D3" s="10" t="s">
        <v>337</v>
      </c>
      <c r="E3" s="30">
        <v>41732</v>
      </c>
      <c r="F3" s="80" t="s">
        <v>367</v>
      </c>
    </row>
    <row r="4" spans="1:6" x14ac:dyDescent="0.3">
      <c r="A4" s="74" t="s">
        <v>335</v>
      </c>
      <c r="B4" s="10" t="s">
        <v>338</v>
      </c>
      <c r="C4" s="10">
        <v>755</v>
      </c>
      <c r="D4" s="10" t="s">
        <v>339</v>
      </c>
      <c r="E4" s="30">
        <v>42042</v>
      </c>
      <c r="F4" s="80" t="s">
        <v>366</v>
      </c>
    </row>
    <row r="5" spans="1:6" x14ac:dyDescent="0.3">
      <c r="A5" s="74" t="s">
        <v>332</v>
      </c>
      <c r="B5" s="10" t="s">
        <v>340</v>
      </c>
      <c r="C5" s="10">
        <v>757</v>
      </c>
      <c r="D5" s="10" t="s">
        <v>341</v>
      </c>
      <c r="E5" s="30">
        <v>42324</v>
      </c>
      <c r="F5" s="80" t="s">
        <v>368</v>
      </c>
    </row>
    <row r="6" spans="1:6" x14ac:dyDescent="0.3">
      <c r="A6" s="74" t="s">
        <v>335</v>
      </c>
      <c r="B6" s="10" t="s">
        <v>338</v>
      </c>
      <c r="C6" s="10">
        <v>757</v>
      </c>
      <c r="D6" s="10" t="s">
        <v>342</v>
      </c>
      <c r="E6" s="30">
        <v>42300</v>
      </c>
      <c r="F6" s="80" t="s">
        <v>368</v>
      </c>
    </row>
    <row r="7" spans="1:6" x14ac:dyDescent="0.3">
      <c r="A7" s="74" t="s">
        <v>343</v>
      </c>
      <c r="B7" s="10" t="s">
        <v>344</v>
      </c>
      <c r="C7" s="10">
        <v>772</v>
      </c>
      <c r="D7" s="10" t="s">
        <v>345</v>
      </c>
      <c r="E7" s="30">
        <v>42001</v>
      </c>
      <c r="F7" s="80" t="s">
        <v>368</v>
      </c>
    </row>
    <row r="8" spans="1:6" x14ac:dyDescent="0.3">
      <c r="A8" s="74" t="s">
        <v>332</v>
      </c>
      <c r="B8" s="10" t="s">
        <v>346</v>
      </c>
      <c r="C8" s="10">
        <v>773</v>
      </c>
      <c r="D8" s="10" t="s">
        <v>337</v>
      </c>
      <c r="E8" s="30">
        <v>42096</v>
      </c>
      <c r="F8" s="80" t="s">
        <v>367</v>
      </c>
    </row>
    <row r="9" spans="1:6" x14ac:dyDescent="0.3">
      <c r="A9" s="74" t="s">
        <v>343</v>
      </c>
      <c r="B9" s="10" t="s">
        <v>347</v>
      </c>
      <c r="C9" s="10">
        <v>781</v>
      </c>
      <c r="D9" s="10" t="s">
        <v>337</v>
      </c>
      <c r="E9" s="30">
        <v>41870</v>
      </c>
      <c r="F9" s="80" t="s">
        <v>369</v>
      </c>
    </row>
    <row r="10" spans="1:6" x14ac:dyDescent="0.3">
      <c r="A10" s="74" t="s">
        <v>335</v>
      </c>
      <c r="B10" s="10" t="s">
        <v>348</v>
      </c>
      <c r="C10" s="10">
        <v>784</v>
      </c>
      <c r="D10" s="10" t="s">
        <v>349</v>
      </c>
      <c r="E10" s="30">
        <v>42241</v>
      </c>
      <c r="F10" s="80" t="s">
        <v>369</v>
      </c>
    </row>
    <row r="11" spans="1:6" x14ac:dyDescent="0.3">
      <c r="A11" s="74" t="s">
        <v>350</v>
      </c>
      <c r="B11" s="10" t="s">
        <v>351</v>
      </c>
      <c r="C11" s="10">
        <v>785</v>
      </c>
      <c r="D11" s="10" t="s">
        <v>345</v>
      </c>
      <c r="E11" s="30">
        <v>41920</v>
      </c>
      <c r="F11" s="80" t="s">
        <v>368</v>
      </c>
    </row>
    <row r="12" spans="1:6" x14ac:dyDescent="0.3">
      <c r="A12" s="74" t="s">
        <v>370</v>
      </c>
      <c r="B12" s="10" t="s">
        <v>371</v>
      </c>
      <c r="C12" s="10">
        <v>786</v>
      </c>
      <c r="D12" s="10" t="s">
        <v>372</v>
      </c>
      <c r="E12" s="30">
        <v>42208</v>
      </c>
      <c r="F12" s="80" t="s">
        <v>369</v>
      </c>
    </row>
    <row r="13" spans="1:6" x14ac:dyDescent="0.3">
      <c r="A13" s="74" t="s">
        <v>373</v>
      </c>
      <c r="B13" s="10" t="s">
        <v>374</v>
      </c>
      <c r="C13" s="10">
        <v>789</v>
      </c>
      <c r="D13" s="10" t="s">
        <v>334</v>
      </c>
      <c r="E13" s="30">
        <v>42140</v>
      </c>
      <c r="F13" s="80" t="s">
        <v>367</v>
      </c>
    </row>
    <row r="14" spans="1:6" x14ac:dyDescent="0.3">
      <c r="A14" s="74" t="s">
        <v>373</v>
      </c>
      <c r="B14" s="10" t="s">
        <v>375</v>
      </c>
      <c r="C14" s="10">
        <v>800</v>
      </c>
      <c r="D14" s="10" t="s">
        <v>372</v>
      </c>
      <c r="E14" s="30">
        <v>42077</v>
      </c>
      <c r="F14" s="80" t="s">
        <v>366</v>
      </c>
    </row>
    <row r="15" spans="1:6" x14ac:dyDescent="0.3">
      <c r="A15" s="74" t="s">
        <v>376</v>
      </c>
      <c r="B15" s="10" t="s">
        <v>377</v>
      </c>
      <c r="C15" s="10">
        <v>800</v>
      </c>
      <c r="D15" s="10" t="s">
        <v>339</v>
      </c>
      <c r="E15" s="30">
        <v>41889</v>
      </c>
      <c r="F15" s="80" t="s">
        <v>369</v>
      </c>
    </row>
    <row r="16" spans="1:6" x14ac:dyDescent="0.3">
      <c r="A16" s="74" t="s">
        <v>343</v>
      </c>
      <c r="B16" s="10" t="s">
        <v>378</v>
      </c>
      <c r="C16" s="10">
        <v>802</v>
      </c>
      <c r="D16" s="10" t="s">
        <v>337</v>
      </c>
      <c r="E16" s="30">
        <v>42022</v>
      </c>
      <c r="F16" s="80" t="s">
        <v>366</v>
      </c>
    </row>
    <row r="17" spans="1:6" x14ac:dyDescent="0.3">
      <c r="A17" s="74" t="s">
        <v>332</v>
      </c>
      <c r="B17" s="10" t="s">
        <v>379</v>
      </c>
      <c r="C17" s="10">
        <v>803</v>
      </c>
      <c r="D17" s="10" t="s">
        <v>341</v>
      </c>
      <c r="E17" s="30">
        <v>42352</v>
      </c>
      <c r="F17" s="80" t="s">
        <v>368</v>
      </c>
    </row>
    <row r="18" spans="1:6" x14ac:dyDescent="0.3">
      <c r="A18" s="74" t="s">
        <v>376</v>
      </c>
      <c r="B18" s="10" t="s">
        <v>380</v>
      </c>
      <c r="C18" s="10">
        <v>804</v>
      </c>
      <c r="D18" s="10" t="s">
        <v>334</v>
      </c>
      <c r="E18" s="30">
        <v>42158</v>
      </c>
      <c r="F18" s="80" t="s">
        <v>367</v>
      </c>
    </row>
    <row r="19" spans="1:6" x14ac:dyDescent="0.3">
      <c r="A19" s="74" t="s">
        <v>350</v>
      </c>
      <c r="B19" s="10" t="s">
        <v>381</v>
      </c>
      <c r="C19" s="10">
        <v>807</v>
      </c>
      <c r="D19" s="10" t="s">
        <v>382</v>
      </c>
      <c r="E19" s="30">
        <v>41696</v>
      </c>
      <c r="F19" s="80" t="s">
        <v>366</v>
      </c>
    </row>
    <row r="20" spans="1:6" x14ac:dyDescent="0.3">
      <c r="A20" s="74" t="s">
        <v>383</v>
      </c>
      <c r="B20" s="10" t="s">
        <v>384</v>
      </c>
      <c r="C20" s="10">
        <v>808</v>
      </c>
      <c r="D20" s="10" t="s">
        <v>341</v>
      </c>
      <c r="E20" s="30">
        <v>41677</v>
      </c>
      <c r="F20" s="80" t="s">
        <v>366</v>
      </c>
    </row>
    <row r="21" spans="1:6" x14ac:dyDescent="0.3">
      <c r="A21" s="74" t="s">
        <v>370</v>
      </c>
      <c r="B21" s="10" t="s">
        <v>385</v>
      </c>
      <c r="C21" s="10">
        <v>811</v>
      </c>
      <c r="D21" s="10" t="s">
        <v>349</v>
      </c>
      <c r="E21" s="30">
        <v>42204</v>
      </c>
      <c r="F21" s="80" t="s">
        <v>369</v>
      </c>
    </row>
    <row r="22" spans="1:6" x14ac:dyDescent="0.3">
      <c r="A22" s="74" t="s">
        <v>343</v>
      </c>
      <c r="B22" s="10" t="s">
        <v>386</v>
      </c>
      <c r="C22" s="10">
        <v>814</v>
      </c>
      <c r="D22" s="10" t="s">
        <v>382</v>
      </c>
      <c r="E22" s="30">
        <v>41995</v>
      </c>
      <c r="F22" s="80" t="s">
        <v>368</v>
      </c>
    </row>
    <row r="23" spans="1:6" x14ac:dyDescent="0.3">
      <c r="A23" s="74" t="s">
        <v>370</v>
      </c>
      <c r="B23" s="10" t="s">
        <v>387</v>
      </c>
      <c r="C23" s="10">
        <v>815</v>
      </c>
      <c r="D23" s="10" t="s">
        <v>341</v>
      </c>
      <c r="E23" s="30">
        <v>41905</v>
      </c>
      <c r="F23" s="80" t="s">
        <v>369</v>
      </c>
    </row>
    <row r="24" spans="1:6" x14ac:dyDescent="0.3">
      <c r="A24" s="74" t="s">
        <v>370</v>
      </c>
      <c r="B24" s="10" t="s">
        <v>388</v>
      </c>
      <c r="C24" s="10">
        <v>816</v>
      </c>
      <c r="D24" s="10" t="s">
        <v>382</v>
      </c>
      <c r="E24" s="30">
        <v>41749</v>
      </c>
      <c r="F24" s="80" t="s">
        <v>367</v>
      </c>
    </row>
    <row r="25" spans="1:6" x14ac:dyDescent="0.3">
      <c r="A25" s="74" t="s">
        <v>370</v>
      </c>
      <c r="B25" s="10" t="s">
        <v>389</v>
      </c>
      <c r="C25" s="10">
        <v>820</v>
      </c>
      <c r="D25" s="10" t="s">
        <v>382</v>
      </c>
      <c r="E25" s="30">
        <v>42290</v>
      </c>
      <c r="F25" s="80" t="s">
        <v>368</v>
      </c>
    </row>
    <row r="26" spans="1:6" x14ac:dyDescent="0.3">
      <c r="A26" s="74" t="s">
        <v>373</v>
      </c>
      <c r="B26" s="10" t="s">
        <v>390</v>
      </c>
      <c r="C26" s="10">
        <v>825</v>
      </c>
      <c r="D26" s="10" t="s">
        <v>391</v>
      </c>
      <c r="E26" s="30">
        <v>42147</v>
      </c>
      <c r="F26" s="80" t="s">
        <v>367</v>
      </c>
    </row>
    <row r="27" spans="1:6" x14ac:dyDescent="0.3">
      <c r="A27" s="74" t="s">
        <v>370</v>
      </c>
      <c r="B27" s="10" t="s">
        <v>392</v>
      </c>
      <c r="C27" s="10">
        <v>826</v>
      </c>
      <c r="D27" s="10" t="s">
        <v>334</v>
      </c>
      <c r="E27" s="30">
        <v>42328</v>
      </c>
      <c r="F27" s="80" t="s">
        <v>368</v>
      </c>
    </row>
    <row r="28" spans="1:6" x14ac:dyDescent="0.3">
      <c r="A28" s="74" t="s">
        <v>373</v>
      </c>
      <c r="B28" s="10" t="s">
        <v>375</v>
      </c>
      <c r="C28" s="10">
        <v>830</v>
      </c>
      <c r="D28" s="10" t="s">
        <v>337</v>
      </c>
      <c r="E28" s="30">
        <v>41769</v>
      </c>
      <c r="F28" s="80" t="s">
        <v>367</v>
      </c>
    </row>
    <row r="29" spans="1:6" x14ac:dyDescent="0.3">
      <c r="A29" s="74" t="s">
        <v>335</v>
      </c>
      <c r="B29" s="10" t="s">
        <v>393</v>
      </c>
      <c r="C29" s="10">
        <v>830</v>
      </c>
      <c r="D29" s="10" t="s">
        <v>342</v>
      </c>
      <c r="E29" s="30">
        <v>41733</v>
      </c>
      <c r="F29" s="80" t="s">
        <v>367</v>
      </c>
    </row>
    <row r="30" spans="1:6" x14ac:dyDescent="0.3">
      <c r="A30" s="74" t="s">
        <v>350</v>
      </c>
      <c r="B30" s="10" t="s">
        <v>394</v>
      </c>
      <c r="C30" s="10">
        <v>837</v>
      </c>
      <c r="D30" s="10" t="s">
        <v>391</v>
      </c>
      <c r="E30" s="30">
        <v>42362</v>
      </c>
      <c r="F30" s="80" t="s">
        <v>368</v>
      </c>
    </row>
    <row r="31" spans="1:6" x14ac:dyDescent="0.3">
      <c r="A31" s="74" t="s">
        <v>370</v>
      </c>
      <c r="B31" s="10" t="s">
        <v>395</v>
      </c>
      <c r="C31" s="10">
        <v>838</v>
      </c>
      <c r="D31" s="10" t="s">
        <v>382</v>
      </c>
      <c r="E31" s="30">
        <v>41983</v>
      </c>
      <c r="F31" s="80" t="s">
        <v>368</v>
      </c>
    </row>
    <row r="32" spans="1:6" x14ac:dyDescent="0.3">
      <c r="A32" s="74" t="s">
        <v>373</v>
      </c>
      <c r="B32" s="10" t="s">
        <v>390</v>
      </c>
      <c r="C32" s="10">
        <v>844</v>
      </c>
      <c r="D32" s="10" t="s">
        <v>341</v>
      </c>
      <c r="E32" s="30">
        <v>42130</v>
      </c>
      <c r="F32" s="80" t="s">
        <v>367</v>
      </c>
    </row>
    <row r="33" spans="1:6" x14ac:dyDescent="0.3">
      <c r="A33" s="74" t="s">
        <v>370</v>
      </c>
      <c r="B33" s="10" t="s">
        <v>385</v>
      </c>
      <c r="C33" s="10">
        <v>845</v>
      </c>
      <c r="D33" s="10" t="s">
        <v>337</v>
      </c>
      <c r="E33" s="30">
        <v>42282</v>
      </c>
      <c r="F33" s="80" t="s">
        <v>368</v>
      </c>
    </row>
    <row r="34" spans="1:6" x14ac:dyDescent="0.3">
      <c r="A34" s="74" t="s">
        <v>343</v>
      </c>
      <c r="B34" s="10" t="s">
        <v>396</v>
      </c>
      <c r="C34" s="10">
        <v>846</v>
      </c>
      <c r="D34" s="10" t="s">
        <v>342</v>
      </c>
      <c r="E34" s="30">
        <v>42089</v>
      </c>
      <c r="F34" s="80" t="s">
        <v>366</v>
      </c>
    </row>
    <row r="35" spans="1:6" x14ac:dyDescent="0.3">
      <c r="A35" s="74" t="s">
        <v>370</v>
      </c>
      <c r="B35" s="10" t="s">
        <v>385</v>
      </c>
      <c r="C35" s="10">
        <v>849</v>
      </c>
      <c r="D35" s="10" t="s">
        <v>349</v>
      </c>
      <c r="E35" s="30">
        <v>41773</v>
      </c>
      <c r="F35" s="80" t="s">
        <v>367</v>
      </c>
    </row>
    <row r="36" spans="1:6" x14ac:dyDescent="0.3">
      <c r="A36" s="74" t="s">
        <v>370</v>
      </c>
      <c r="B36" s="10" t="s">
        <v>397</v>
      </c>
      <c r="C36" s="10">
        <v>851</v>
      </c>
      <c r="D36" s="10" t="s">
        <v>345</v>
      </c>
      <c r="E36" s="30">
        <v>42346</v>
      </c>
      <c r="F36" s="80" t="s">
        <v>368</v>
      </c>
    </row>
    <row r="37" spans="1:6" x14ac:dyDescent="0.3">
      <c r="A37" s="74" t="s">
        <v>332</v>
      </c>
      <c r="B37" s="10" t="s">
        <v>398</v>
      </c>
      <c r="C37" s="10">
        <v>860</v>
      </c>
      <c r="D37" s="10" t="s">
        <v>349</v>
      </c>
      <c r="E37" s="30">
        <v>42040</v>
      </c>
      <c r="F37" s="80" t="s">
        <v>366</v>
      </c>
    </row>
    <row r="38" spans="1:6" x14ac:dyDescent="0.3">
      <c r="A38" s="74" t="s">
        <v>335</v>
      </c>
      <c r="B38" s="10" t="s">
        <v>336</v>
      </c>
      <c r="C38" s="10">
        <v>862</v>
      </c>
      <c r="D38" s="10" t="s">
        <v>337</v>
      </c>
      <c r="E38" s="30">
        <v>42310</v>
      </c>
      <c r="F38" s="80" t="s">
        <v>368</v>
      </c>
    </row>
    <row r="39" spans="1:6" x14ac:dyDescent="0.3">
      <c r="A39" s="74" t="s">
        <v>383</v>
      </c>
      <c r="B39" s="10" t="s">
        <v>399</v>
      </c>
      <c r="C39" s="10">
        <v>866</v>
      </c>
      <c r="D39" s="10" t="s">
        <v>337</v>
      </c>
      <c r="E39" s="30">
        <v>41681</v>
      </c>
      <c r="F39" s="80" t="s">
        <v>366</v>
      </c>
    </row>
    <row r="40" spans="1:6" x14ac:dyDescent="0.3">
      <c r="A40" s="74" t="s">
        <v>343</v>
      </c>
      <c r="B40" s="10" t="s">
        <v>400</v>
      </c>
      <c r="C40" s="10">
        <v>872</v>
      </c>
      <c r="D40" s="10" t="s">
        <v>342</v>
      </c>
      <c r="E40" s="30">
        <v>41962</v>
      </c>
      <c r="F40" s="80" t="s">
        <v>368</v>
      </c>
    </row>
    <row r="41" spans="1:6" x14ac:dyDescent="0.3">
      <c r="A41" s="74" t="s">
        <v>332</v>
      </c>
      <c r="B41" s="10" t="s">
        <v>401</v>
      </c>
      <c r="C41" s="10">
        <v>874</v>
      </c>
      <c r="D41" s="10" t="s">
        <v>382</v>
      </c>
      <c r="E41" s="30">
        <v>41964</v>
      </c>
      <c r="F41" s="80" t="s">
        <v>368</v>
      </c>
    </row>
    <row r="42" spans="1:6" x14ac:dyDescent="0.3">
      <c r="A42" s="74" t="s">
        <v>373</v>
      </c>
      <c r="B42" s="10" t="s">
        <v>390</v>
      </c>
      <c r="C42" s="10">
        <v>874</v>
      </c>
      <c r="D42" s="10" t="s">
        <v>372</v>
      </c>
      <c r="E42" s="30">
        <v>42366</v>
      </c>
      <c r="F42" s="80" t="s">
        <v>368</v>
      </c>
    </row>
    <row r="43" spans="1:6" x14ac:dyDescent="0.3">
      <c r="A43" s="74" t="s">
        <v>370</v>
      </c>
      <c r="B43" s="10" t="s">
        <v>402</v>
      </c>
      <c r="C43" s="10">
        <v>895</v>
      </c>
      <c r="D43" s="10" t="s">
        <v>337</v>
      </c>
      <c r="E43" s="30">
        <v>42050</v>
      </c>
      <c r="F43" s="80" t="s">
        <v>366</v>
      </c>
    </row>
    <row r="44" spans="1:6" x14ac:dyDescent="0.3">
      <c r="A44" s="74" t="s">
        <v>335</v>
      </c>
      <c r="B44" s="10" t="s">
        <v>403</v>
      </c>
      <c r="C44" s="10">
        <v>896</v>
      </c>
      <c r="D44" s="10" t="s">
        <v>339</v>
      </c>
      <c r="E44" s="30">
        <v>42008</v>
      </c>
      <c r="F44" s="80" t="s">
        <v>366</v>
      </c>
    </row>
    <row r="45" spans="1:6" x14ac:dyDescent="0.3">
      <c r="A45" s="74" t="s">
        <v>383</v>
      </c>
      <c r="B45" s="10" t="s">
        <v>399</v>
      </c>
      <c r="C45" s="10">
        <v>898</v>
      </c>
      <c r="D45" s="10" t="s">
        <v>391</v>
      </c>
      <c r="E45" s="30">
        <v>42080</v>
      </c>
      <c r="F45" s="80" t="s">
        <v>366</v>
      </c>
    </row>
    <row r="46" spans="1:6" x14ac:dyDescent="0.3">
      <c r="A46" s="74" t="s">
        <v>376</v>
      </c>
      <c r="B46" s="10" t="s">
        <v>404</v>
      </c>
      <c r="C46" s="10">
        <v>907</v>
      </c>
      <c r="D46" s="10" t="s">
        <v>337</v>
      </c>
      <c r="E46" s="30">
        <v>41745</v>
      </c>
      <c r="F46" s="80" t="s">
        <v>367</v>
      </c>
    </row>
    <row r="47" spans="1:6" x14ac:dyDescent="0.3">
      <c r="A47" s="74" t="s">
        <v>335</v>
      </c>
      <c r="B47" s="10" t="s">
        <v>405</v>
      </c>
      <c r="C47" s="10">
        <v>911</v>
      </c>
      <c r="D47" s="10" t="s">
        <v>339</v>
      </c>
      <c r="E47" s="30">
        <v>42335</v>
      </c>
      <c r="F47" s="80" t="s">
        <v>368</v>
      </c>
    </row>
    <row r="48" spans="1:6" x14ac:dyDescent="0.3">
      <c r="A48" s="74" t="s">
        <v>376</v>
      </c>
      <c r="B48" s="10" t="s">
        <v>406</v>
      </c>
      <c r="C48" s="10">
        <v>916</v>
      </c>
      <c r="D48" s="10" t="s">
        <v>337</v>
      </c>
      <c r="E48" s="30">
        <v>41828</v>
      </c>
      <c r="F48" s="80" t="s">
        <v>369</v>
      </c>
    </row>
    <row r="49" spans="1:6" x14ac:dyDescent="0.3">
      <c r="A49" s="74" t="s">
        <v>332</v>
      </c>
      <c r="B49" s="10" t="s">
        <v>407</v>
      </c>
      <c r="C49" s="10">
        <v>917</v>
      </c>
      <c r="D49" s="10" t="s">
        <v>334</v>
      </c>
      <c r="E49" s="30">
        <v>42009</v>
      </c>
      <c r="F49" s="80" t="s">
        <v>366</v>
      </c>
    </row>
    <row r="50" spans="1:6" x14ac:dyDescent="0.3">
      <c r="A50" s="74" t="s">
        <v>335</v>
      </c>
      <c r="B50" s="10" t="s">
        <v>338</v>
      </c>
      <c r="C50" s="10">
        <v>921</v>
      </c>
      <c r="D50" s="10" t="s">
        <v>339</v>
      </c>
      <c r="E50" s="30">
        <v>42192</v>
      </c>
      <c r="F50" s="80" t="s">
        <v>369</v>
      </c>
    </row>
    <row r="51" spans="1:6" x14ac:dyDescent="0.3">
      <c r="A51" s="74" t="s">
        <v>350</v>
      </c>
      <c r="B51" s="10" t="s">
        <v>408</v>
      </c>
      <c r="C51" s="10">
        <v>922</v>
      </c>
      <c r="D51" s="10" t="s">
        <v>339</v>
      </c>
      <c r="E51" s="30">
        <v>41646</v>
      </c>
      <c r="F51" s="80" t="s">
        <v>366</v>
      </c>
    </row>
    <row r="52" spans="1:6" x14ac:dyDescent="0.3">
      <c r="A52" s="74" t="s">
        <v>376</v>
      </c>
      <c r="B52" s="10" t="s">
        <v>409</v>
      </c>
      <c r="C52" s="10">
        <v>925</v>
      </c>
      <c r="D52" s="10" t="s">
        <v>334</v>
      </c>
      <c r="E52" s="30">
        <v>41858</v>
      </c>
      <c r="F52" s="80" t="s">
        <v>369</v>
      </c>
    </row>
    <row r="53" spans="1:6" x14ac:dyDescent="0.3">
      <c r="A53" s="74" t="s">
        <v>343</v>
      </c>
      <c r="B53" s="10" t="s">
        <v>410</v>
      </c>
      <c r="C53" s="10">
        <v>926</v>
      </c>
      <c r="D53" s="10" t="s">
        <v>391</v>
      </c>
      <c r="E53" s="30">
        <v>41986</v>
      </c>
      <c r="F53" s="80" t="s">
        <v>368</v>
      </c>
    </row>
    <row r="54" spans="1:6" x14ac:dyDescent="0.3">
      <c r="A54" s="74" t="s">
        <v>383</v>
      </c>
      <c r="B54" s="10" t="s">
        <v>411</v>
      </c>
      <c r="C54" s="10">
        <v>932</v>
      </c>
      <c r="D54" s="10" t="s">
        <v>391</v>
      </c>
      <c r="E54" s="30">
        <v>42297</v>
      </c>
      <c r="F54" s="80" t="s">
        <v>368</v>
      </c>
    </row>
    <row r="55" spans="1:6" x14ac:dyDescent="0.3">
      <c r="A55" s="74" t="s">
        <v>376</v>
      </c>
      <c r="B55" s="10" t="s">
        <v>380</v>
      </c>
      <c r="C55" s="10">
        <v>935</v>
      </c>
      <c r="D55" s="10" t="s">
        <v>372</v>
      </c>
      <c r="E55" s="30">
        <v>42060</v>
      </c>
      <c r="F55" s="80" t="s">
        <v>366</v>
      </c>
    </row>
    <row r="56" spans="1:6" x14ac:dyDescent="0.3">
      <c r="A56" s="74" t="s">
        <v>350</v>
      </c>
      <c r="B56" s="10" t="s">
        <v>412</v>
      </c>
      <c r="C56" s="10">
        <v>940</v>
      </c>
      <c r="D56" s="10" t="s">
        <v>345</v>
      </c>
      <c r="E56" s="30">
        <v>42052</v>
      </c>
      <c r="F56" s="80" t="s">
        <v>366</v>
      </c>
    </row>
    <row r="57" spans="1:6" x14ac:dyDescent="0.3">
      <c r="A57" s="74" t="s">
        <v>343</v>
      </c>
      <c r="B57" s="10" t="s">
        <v>413</v>
      </c>
      <c r="C57" s="10">
        <v>942</v>
      </c>
      <c r="D57" s="10" t="s">
        <v>345</v>
      </c>
      <c r="E57" s="30">
        <v>42117</v>
      </c>
      <c r="F57" s="80" t="s">
        <v>367</v>
      </c>
    </row>
    <row r="58" spans="1:6" x14ac:dyDescent="0.3">
      <c r="A58" s="74" t="s">
        <v>376</v>
      </c>
      <c r="B58" s="10" t="s">
        <v>380</v>
      </c>
      <c r="C58" s="10">
        <v>945</v>
      </c>
      <c r="D58" s="10" t="s">
        <v>372</v>
      </c>
      <c r="E58" s="30">
        <v>42219</v>
      </c>
      <c r="F58" s="80" t="s">
        <v>369</v>
      </c>
    </row>
    <row r="59" spans="1:6" x14ac:dyDescent="0.3">
      <c r="A59" s="74" t="s">
        <v>335</v>
      </c>
      <c r="B59" s="10" t="s">
        <v>414</v>
      </c>
      <c r="C59" s="10">
        <v>953</v>
      </c>
      <c r="D59" s="10" t="s">
        <v>349</v>
      </c>
      <c r="E59" s="30">
        <v>42351</v>
      </c>
      <c r="F59" s="80" t="s">
        <v>368</v>
      </c>
    </row>
    <row r="60" spans="1:6" x14ac:dyDescent="0.3">
      <c r="A60" s="74" t="s">
        <v>350</v>
      </c>
      <c r="B60" s="10" t="s">
        <v>412</v>
      </c>
      <c r="C60" s="10">
        <v>964</v>
      </c>
      <c r="D60" s="10" t="s">
        <v>349</v>
      </c>
      <c r="E60" s="30">
        <v>41996</v>
      </c>
      <c r="F60" s="80" t="s">
        <v>368</v>
      </c>
    </row>
    <row r="61" spans="1:6" x14ac:dyDescent="0.3">
      <c r="A61" s="74" t="s">
        <v>332</v>
      </c>
      <c r="B61" s="10" t="s">
        <v>401</v>
      </c>
      <c r="C61" s="10">
        <v>966</v>
      </c>
      <c r="D61" s="10" t="s">
        <v>342</v>
      </c>
      <c r="E61" s="30">
        <v>41741</v>
      </c>
      <c r="F61" s="80" t="s">
        <v>367</v>
      </c>
    </row>
    <row r="62" spans="1:6" x14ac:dyDescent="0.3">
      <c r="A62" s="74" t="s">
        <v>335</v>
      </c>
      <c r="B62" s="10" t="s">
        <v>403</v>
      </c>
      <c r="C62" s="10">
        <v>969</v>
      </c>
      <c r="D62" s="10" t="s">
        <v>337</v>
      </c>
      <c r="E62" s="30">
        <v>42039</v>
      </c>
      <c r="F62" s="80" t="s">
        <v>366</v>
      </c>
    </row>
    <row r="63" spans="1:6" x14ac:dyDescent="0.3">
      <c r="A63" s="74" t="s">
        <v>350</v>
      </c>
      <c r="B63" s="10" t="s">
        <v>408</v>
      </c>
      <c r="C63" s="10">
        <v>970</v>
      </c>
      <c r="D63" s="10" t="s">
        <v>382</v>
      </c>
      <c r="E63" s="30">
        <v>41860</v>
      </c>
      <c r="F63" s="80" t="s">
        <v>369</v>
      </c>
    </row>
    <row r="64" spans="1:6" x14ac:dyDescent="0.3">
      <c r="A64" s="74" t="s">
        <v>335</v>
      </c>
      <c r="B64" s="10" t="s">
        <v>415</v>
      </c>
      <c r="C64" s="10">
        <v>972</v>
      </c>
      <c r="D64" s="10" t="s">
        <v>391</v>
      </c>
      <c r="E64" s="30">
        <v>42322</v>
      </c>
      <c r="F64" s="80" t="s">
        <v>368</v>
      </c>
    </row>
    <row r="65" spans="1:6" x14ac:dyDescent="0.3">
      <c r="A65" s="74" t="s">
        <v>350</v>
      </c>
      <c r="B65" s="10" t="s">
        <v>416</v>
      </c>
      <c r="C65" s="10">
        <v>973</v>
      </c>
      <c r="D65" s="10" t="s">
        <v>391</v>
      </c>
      <c r="E65" s="30">
        <v>42339</v>
      </c>
      <c r="F65" s="80" t="s">
        <v>368</v>
      </c>
    </row>
    <row r="66" spans="1:6" x14ac:dyDescent="0.3">
      <c r="A66" s="74" t="s">
        <v>332</v>
      </c>
      <c r="B66" s="10" t="s">
        <v>379</v>
      </c>
      <c r="C66" s="10">
        <v>982</v>
      </c>
      <c r="D66" s="10" t="s">
        <v>342</v>
      </c>
      <c r="E66" s="30">
        <v>42174</v>
      </c>
      <c r="F66" s="80" t="s">
        <v>367</v>
      </c>
    </row>
    <row r="67" spans="1:6" x14ac:dyDescent="0.3">
      <c r="A67" s="74" t="s">
        <v>343</v>
      </c>
      <c r="B67" s="10" t="s">
        <v>417</v>
      </c>
      <c r="C67" s="10">
        <v>991</v>
      </c>
      <c r="D67" s="10" t="s">
        <v>337</v>
      </c>
      <c r="E67" s="30">
        <v>42144</v>
      </c>
      <c r="F67" s="80" t="s">
        <v>367</v>
      </c>
    </row>
    <row r="68" spans="1:6" x14ac:dyDescent="0.3">
      <c r="A68" s="74" t="s">
        <v>370</v>
      </c>
      <c r="B68" s="10" t="s">
        <v>418</v>
      </c>
      <c r="C68" s="10">
        <v>991</v>
      </c>
      <c r="D68" s="10" t="s">
        <v>345</v>
      </c>
      <c r="E68" s="30">
        <v>41842</v>
      </c>
      <c r="F68" s="80" t="s">
        <v>369</v>
      </c>
    </row>
    <row r="69" spans="1:6" x14ac:dyDescent="0.3">
      <c r="A69" s="74" t="s">
        <v>343</v>
      </c>
      <c r="B69" s="10" t="s">
        <v>419</v>
      </c>
      <c r="C69" s="10">
        <v>998</v>
      </c>
      <c r="D69" s="10" t="s">
        <v>337</v>
      </c>
      <c r="E69" s="30">
        <v>41680</v>
      </c>
      <c r="F69" s="80" t="s">
        <v>366</v>
      </c>
    </row>
    <row r="70" spans="1:6" x14ac:dyDescent="0.3">
      <c r="A70" s="74" t="s">
        <v>343</v>
      </c>
      <c r="B70" s="10" t="s">
        <v>400</v>
      </c>
      <c r="C70" s="10">
        <v>1004</v>
      </c>
      <c r="D70" s="10" t="s">
        <v>391</v>
      </c>
      <c r="E70" s="30">
        <v>42207</v>
      </c>
      <c r="F70" s="80" t="s">
        <v>369</v>
      </c>
    </row>
    <row r="71" spans="1:6" x14ac:dyDescent="0.3">
      <c r="A71" s="74" t="s">
        <v>343</v>
      </c>
      <c r="B71" s="10" t="s">
        <v>400</v>
      </c>
      <c r="C71" s="10">
        <v>1008</v>
      </c>
      <c r="D71" s="10" t="s">
        <v>382</v>
      </c>
      <c r="E71" s="30">
        <v>42029</v>
      </c>
      <c r="F71" s="80" t="s">
        <v>366</v>
      </c>
    </row>
    <row r="72" spans="1:6" x14ac:dyDescent="0.3">
      <c r="A72" s="74" t="s">
        <v>373</v>
      </c>
      <c r="B72" s="10" t="s">
        <v>374</v>
      </c>
      <c r="C72" s="10">
        <v>1010</v>
      </c>
      <c r="D72" s="10" t="s">
        <v>372</v>
      </c>
      <c r="E72" s="30">
        <v>42347</v>
      </c>
      <c r="F72" s="80" t="s">
        <v>368</v>
      </c>
    </row>
    <row r="73" spans="1:6" x14ac:dyDescent="0.3">
      <c r="A73" s="74" t="s">
        <v>350</v>
      </c>
      <c r="B73" s="10" t="s">
        <v>394</v>
      </c>
      <c r="C73" s="10">
        <v>1013</v>
      </c>
      <c r="D73" s="10" t="s">
        <v>339</v>
      </c>
      <c r="E73" s="30">
        <v>42136</v>
      </c>
      <c r="F73" s="80" t="s">
        <v>367</v>
      </c>
    </row>
    <row r="74" spans="1:6" x14ac:dyDescent="0.3">
      <c r="A74" s="74" t="s">
        <v>370</v>
      </c>
      <c r="B74" s="10" t="s">
        <v>385</v>
      </c>
      <c r="C74" s="10">
        <v>1015</v>
      </c>
      <c r="D74" s="10" t="s">
        <v>372</v>
      </c>
      <c r="E74" s="30">
        <v>42065</v>
      </c>
      <c r="F74" s="80" t="s">
        <v>366</v>
      </c>
    </row>
    <row r="75" spans="1:6" x14ac:dyDescent="0.3">
      <c r="A75" s="74" t="s">
        <v>376</v>
      </c>
      <c r="B75" s="10" t="s">
        <v>406</v>
      </c>
      <c r="C75" s="10">
        <v>1015</v>
      </c>
      <c r="D75" s="10" t="s">
        <v>391</v>
      </c>
      <c r="E75" s="30">
        <v>42103</v>
      </c>
      <c r="F75" s="80" t="s">
        <v>367</v>
      </c>
    </row>
    <row r="76" spans="1:6" x14ac:dyDescent="0.3">
      <c r="A76" s="74" t="s">
        <v>343</v>
      </c>
      <c r="B76" s="10" t="s">
        <v>386</v>
      </c>
      <c r="C76" s="10">
        <v>1017</v>
      </c>
      <c r="D76" s="10" t="s">
        <v>334</v>
      </c>
      <c r="E76" s="30">
        <v>42265</v>
      </c>
      <c r="F76" s="80" t="s">
        <v>369</v>
      </c>
    </row>
    <row r="77" spans="1:6" x14ac:dyDescent="0.3">
      <c r="A77" s="74" t="s">
        <v>350</v>
      </c>
      <c r="B77" s="10" t="s">
        <v>408</v>
      </c>
      <c r="C77" s="10">
        <v>1018</v>
      </c>
      <c r="D77" s="10" t="s">
        <v>341</v>
      </c>
      <c r="E77" s="30">
        <v>41775</v>
      </c>
      <c r="F77" s="80" t="s">
        <v>367</v>
      </c>
    </row>
    <row r="78" spans="1:6" x14ac:dyDescent="0.3">
      <c r="A78" s="74" t="s">
        <v>335</v>
      </c>
      <c r="B78" s="10" t="s">
        <v>414</v>
      </c>
      <c r="C78" s="10">
        <v>1018</v>
      </c>
      <c r="D78" s="10" t="s">
        <v>337</v>
      </c>
      <c r="E78" s="30">
        <v>41838</v>
      </c>
      <c r="F78" s="80" t="s">
        <v>369</v>
      </c>
    </row>
    <row r="79" spans="1:6" x14ac:dyDescent="0.3">
      <c r="A79" s="74" t="s">
        <v>370</v>
      </c>
      <c r="B79" s="10" t="s">
        <v>392</v>
      </c>
      <c r="C79" s="10">
        <v>1019</v>
      </c>
      <c r="D79" s="10" t="s">
        <v>342</v>
      </c>
      <c r="E79" s="30">
        <v>41981</v>
      </c>
      <c r="F79" s="80" t="s">
        <v>368</v>
      </c>
    </row>
    <row r="80" spans="1:6" x14ac:dyDescent="0.3">
      <c r="A80" s="74" t="s">
        <v>383</v>
      </c>
      <c r="B80" s="10" t="s">
        <v>399</v>
      </c>
      <c r="C80" s="10">
        <v>1022</v>
      </c>
      <c r="D80" s="10" t="s">
        <v>337</v>
      </c>
      <c r="E80" s="30">
        <v>42017</v>
      </c>
      <c r="F80" s="80" t="s">
        <v>366</v>
      </c>
    </row>
    <row r="81" spans="1:6" x14ac:dyDescent="0.3">
      <c r="A81" s="74" t="s">
        <v>376</v>
      </c>
      <c r="B81" s="10" t="s">
        <v>409</v>
      </c>
      <c r="C81" s="10">
        <v>1022</v>
      </c>
      <c r="D81" s="10" t="s">
        <v>345</v>
      </c>
      <c r="E81" s="30">
        <v>41779</v>
      </c>
      <c r="F81" s="80" t="s">
        <v>367</v>
      </c>
    </row>
    <row r="82" spans="1:6" x14ac:dyDescent="0.3">
      <c r="A82" s="74" t="s">
        <v>370</v>
      </c>
      <c r="B82" s="10" t="s">
        <v>387</v>
      </c>
      <c r="C82" s="10">
        <v>1033</v>
      </c>
      <c r="D82" s="10" t="s">
        <v>342</v>
      </c>
      <c r="E82" s="30">
        <v>41688</v>
      </c>
      <c r="F82" s="80" t="s">
        <v>366</v>
      </c>
    </row>
    <row r="83" spans="1:6" x14ac:dyDescent="0.3">
      <c r="A83" s="74" t="s">
        <v>343</v>
      </c>
      <c r="B83" s="10" t="s">
        <v>419</v>
      </c>
      <c r="C83" s="10">
        <v>1034</v>
      </c>
      <c r="D83" s="10" t="s">
        <v>334</v>
      </c>
      <c r="E83" s="30">
        <v>42254</v>
      </c>
      <c r="F83" s="80" t="s">
        <v>369</v>
      </c>
    </row>
    <row r="84" spans="1:6" x14ac:dyDescent="0.3">
      <c r="A84" s="74" t="s">
        <v>370</v>
      </c>
      <c r="B84" s="10" t="s">
        <v>420</v>
      </c>
      <c r="C84" s="10">
        <v>1037</v>
      </c>
      <c r="D84" s="10" t="s">
        <v>382</v>
      </c>
      <c r="E84" s="30">
        <v>42164</v>
      </c>
      <c r="F84" s="80" t="s">
        <v>367</v>
      </c>
    </row>
    <row r="85" spans="1:6" x14ac:dyDescent="0.3">
      <c r="A85" s="74" t="s">
        <v>332</v>
      </c>
      <c r="B85" s="10" t="s">
        <v>407</v>
      </c>
      <c r="C85" s="10">
        <v>1037</v>
      </c>
      <c r="D85" s="10" t="s">
        <v>339</v>
      </c>
      <c r="E85" s="30">
        <v>41885</v>
      </c>
      <c r="F85" s="80" t="s">
        <v>369</v>
      </c>
    </row>
    <row r="86" spans="1:6" x14ac:dyDescent="0.3">
      <c r="A86" s="74" t="s">
        <v>373</v>
      </c>
      <c r="B86" s="10" t="s">
        <v>421</v>
      </c>
      <c r="C86" s="10">
        <v>1041</v>
      </c>
      <c r="D86" s="10" t="s">
        <v>334</v>
      </c>
      <c r="E86" s="30">
        <v>42301</v>
      </c>
      <c r="F86" s="80" t="s">
        <v>368</v>
      </c>
    </row>
    <row r="87" spans="1:6" x14ac:dyDescent="0.3">
      <c r="A87" s="74" t="s">
        <v>370</v>
      </c>
      <c r="B87" s="10" t="s">
        <v>422</v>
      </c>
      <c r="C87" s="10">
        <v>1044</v>
      </c>
      <c r="D87" s="10" t="s">
        <v>334</v>
      </c>
      <c r="E87" s="30">
        <v>42345</v>
      </c>
      <c r="F87" s="80" t="s">
        <v>368</v>
      </c>
    </row>
    <row r="88" spans="1:6" x14ac:dyDescent="0.3">
      <c r="A88" s="74" t="s">
        <v>373</v>
      </c>
      <c r="B88" s="10" t="s">
        <v>423</v>
      </c>
      <c r="C88" s="10">
        <v>1047</v>
      </c>
      <c r="D88" s="10" t="s">
        <v>349</v>
      </c>
      <c r="E88" s="30">
        <v>41999</v>
      </c>
      <c r="F88" s="80" t="s">
        <v>368</v>
      </c>
    </row>
    <row r="89" spans="1:6" x14ac:dyDescent="0.3">
      <c r="A89" s="74" t="s">
        <v>343</v>
      </c>
      <c r="B89" s="10" t="s">
        <v>419</v>
      </c>
      <c r="C89" s="10">
        <v>1050</v>
      </c>
      <c r="D89" s="10" t="s">
        <v>342</v>
      </c>
      <c r="E89" s="30">
        <v>42032</v>
      </c>
      <c r="F89" s="80" t="s">
        <v>366</v>
      </c>
    </row>
    <row r="90" spans="1:6" x14ac:dyDescent="0.3">
      <c r="A90" s="74" t="s">
        <v>383</v>
      </c>
      <c r="B90" s="10" t="s">
        <v>424</v>
      </c>
      <c r="C90" s="10">
        <v>1054</v>
      </c>
      <c r="D90" s="10" t="s">
        <v>391</v>
      </c>
      <c r="E90" s="30">
        <v>41681</v>
      </c>
      <c r="F90" s="80" t="s">
        <v>366</v>
      </c>
    </row>
    <row r="91" spans="1:6" x14ac:dyDescent="0.3">
      <c r="A91" s="74" t="s">
        <v>335</v>
      </c>
      <c r="B91" s="10" t="s">
        <v>425</v>
      </c>
      <c r="C91" s="10">
        <v>1054</v>
      </c>
      <c r="D91" s="10" t="s">
        <v>349</v>
      </c>
      <c r="E91" s="30">
        <v>41952</v>
      </c>
      <c r="F91" s="80" t="s">
        <v>368</v>
      </c>
    </row>
    <row r="92" spans="1:6" x14ac:dyDescent="0.3">
      <c r="A92" s="74" t="s">
        <v>343</v>
      </c>
      <c r="B92" s="10" t="s">
        <v>347</v>
      </c>
      <c r="C92" s="10">
        <v>1057</v>
      </c>
      <c r="D92" s="10" t="s">
        <v>382</v>
      </c>
      <c r="E92" s="30">
        <v>42250</v>
      </c>
      <c r="F92" s="80" t="s">
        <v>369</v>
      </c>
    </row>
    <row r="93" spans="1:6" x14ac:dyDescent="0.3">
      <c r="A93" s="74" t="s">
        <v>350</v>
      </c>
      <c r="B93" s="10" t="s">
        <v>426</v>
      </c>
      <c r="C93" s="10">
        <v>1059</v>
      </c>
      <c r="D93" s="10" t="s">
        <v>345</v>
      </c>
      <c r="E93" s="30">
        <v>42140</v>
      </c>
      <c r="F93" s="80" t="s">
        <v>367</v>
      </c>
    </row>
    <row r="94" spans="1:6" x14ac:dyDescent="0.3">
      <c r="A94" s="74" t="s">
        <v>383</v>
      </c>
      <c r="B94" s="10" t="s">
        <v>399</v>
      </c>
      <c r="C94" s="10">
        <v>1064</v>
      </c>
      <c r="D94" s="10" t="s">
        <v>345</v>
      </c>
      <c r="E94" s="30">
        <v>41752</v>
      </c>
      <c r="F94" s="80" t="s">
        <v>367</v>
      </c>
    </row>
    <row r="95" spans="1:6" x14ac:dyDescent="0.3">
      <c r="A95" s="74" t="s">
        <v>332</v>
      </c>
      <c r="B95" s="10" t="s">
        <v>340</v>
      </c>
      <c r="C95" s="10">
        <v>1065</v>
      </c>
      <c r="D95" s="10" t="s">
        <v>382</v>
      </c>
      <c r="E95" s="30">
        <v>42244</v>
      </c>
      <c r="F95" s="80" t="s">
        <v>369</v>
      </c>
    </row>
    <row r="96" spans="1:6" x14ac:dyDescent="0.3">
      <c r="A96" s="74" t="s">
        <v>343</v>
      </c>
      <c r="B96" s="10" t="s">
        <v>400</v>
      </c>
      <c r="C96" s="10">
        <v>1078</v>
      </c>
      <c r="D96" s="10" t="s">
        <v>345</v>
      </c>
      <c r="E96" s="30">
        <v>41988</v>
      </c>
      <c r="F96" s="80" t="s">
        <v>368</v>
      </c>
    </row>
    <row r="97" spans="1:6" x14ac:dyDescent="0.3">
      <c r="A97" s="74" t="s">
        <v>343</v>
      </c>
      <c r="B97" s="10" t="s">
        <v>347</v>
      </c>
      <c r="C97" s="10">
        <v>1078</v>
      </c>
      <c r="D97" s="10" t="s">
        <v>337</v>
      </c>
      <c r="E97" s="30">
        <v>42291</v>
      </c>
      <c r="F97" s="80" t="s">
        <v>368</v>
      </c>
    </row>
    <row r="98" spans="1:6" x14ac:dyDescent="0.3">
      <c r="A98" s="74" t="s">
        <v>370</v>
      </c>
      <c r="B98" s="10" t="s">
        <v>387</v>
      </c>
      <c r="C98" s="10">
        <v>1079</v>
      </c>
      <c r="D98" s="10" t="s">
        <v>342</v>
      </c>
      <c r="E98" s="30">
        <v>42050</v>
      </c>
      <c r="F98" s="80" t="s">
        <v>366</v>
      </c>
    </row>
    <row r="99" spans="1:6" x14ac:dyDescent="0.3">
      <c r="A99" s="74" t="s">
        <v>376</v>
      </c>
      <c r="B99" s="10" t="s">
        <v>406</v>
      </c>
      <c r="C99" s="10">
        <v>1079</v>
      </c>
      <c r="D99" s="10" t="s">
        <v>345</v>
      </c>
      <c r="E99" s="30">
        <v>41690</v>
      </c>
      <c r="F99" s="80" t="s">
        <v>366</v>
      </c>
    </row>
    <row r="100" spans="1:6" x14ac:dyDescent="0.3">
      <c r="A100" s="74" t="s">
        <v>370</v>
      </c>
      <c r="B100" s="10" t="s">
        <v>385</v>
      </c>
      <c r="C100" s="10">
        <v>1081</v>
      </c>
      <c r="D100" s="10" t="s">
        <v>339</v>
      </c>
      <c r="E100" s="30">
        <v>42022</v>
      </c>
      <c r="F100" s="80" t="s">
        <v>366</v>
      </c>
    </row>
    <row r="101" spans="1:6" x14ac:dyDescent="0.3">
      <c r="A101" s="74" t="s">
        <v>332</v>
      </c>
      <c r="B101" s="10" t="s">
        <v>379</v>
      </c>
      <c r="C101" s="10">
        <v>1081</v>
      </c>
      <c r="D101" s="10" t="s">
        <v>391</v>
      </c>
      <c r="E101" s="30">
        <v>42187</v>
      </c>
      <c r="F101" s="80" t="s">
        <v>369</v>
      </c>
    </row>
    <row r="102" spans="1:6" x14ac:dyDescent="0.3">
      <c r="A102" s="74" t="s">
        <v>383</v>
      </c>
      <c r="B102" s="10" t="s">
        <v>399</v>
      </c>
      <c r="C102" s="10">
        <v>1083</v>
      </c>
      <c r="D102" s="10" t="s">
        <v>339</v>
      </c>
      <c r="E102" s="30">
        <v>42014</v>
      </c>
      <c r="F102" s="80" t="s">
        <v>366</v>
      </c>
    </row>
    <row r="103" spans="1:6" x14ac:dyDescent="0.3">
      <c r="A103" s="74" t="s">
        <v>370</v>
      </c>
      <c r="B103" s="10" t="s">
        <v>402</v>
      </c>
      <c r="C103" s="10">
        <v>1093</v>
      </c>
      <c r="D103" s="10" t="s">
        <v>341</v>
      </c>
      <c r="E103" s="30">
        <v>41795</v>
      </c>
      <c r="F103" s="80" t="s">
        <v>367</v>
      </c>
    </row>
    <row r="104" spans="1:6" x14ac:dyDescent="0.3">
      <c r="A104" s="74" t="s">
        <v>343</v>
      </c>
      <c r="B104" s="10" t="s">
        <v>427</v>
      </c>
      <c r="C104" s="10">
        <v>1095</v>
      </c>
      <c r="D104" s="10" t="s">
        <v>339</v>
      </c>
      <c r="E104" s="30">
        <v>42168</v>
      </c>
      <c r="F104" s="80" t="s">
        <v>367</v>
      </c>
    </row>
    <row r="105" spans="1:6" x14ac:dyDescent="0.3">
      <c r="A105" s="74" t="s">
        <v>373</v>
      </c>
      <c r="B105" s="10" t="s">
        <v>428</v>
      </c>
      <c r="C105" s="10">
        <v>1104</v>
      </c>
      <c r="D105" s="10" t="s">
        <v>337</v>
      </c>
      <c r="E105" s="30">
        <v>41963</v>
      </c>
      <c r="F105" s="80" t="s">
        <v>368</v>
      </c>
    </row>
    <row r="106" spans="1:6" x14ac:dyDescent="0.3">
      <c r="A106" s="74" t="s">
        <v>373</v>
      </c>
      <c r="B106" s="10" t="s">
        <v>429</v>
      </c>
      <c r="C106" s="10">
        <v>1111</v>
      </c>
      <c r="D106" s="10" t="s">
        <v>341</v>
      </c>
      <c r="E106" s="30">
        <v>42158</v>
      </c>
      <c r="F106" s="80" t="s">
        <v>367</v>
      </c>
    </row>
    <row r="107" spans="1:6" x14ac:dyDescent="0.3">
      <c r="A107" s="74" t="s">
        <v>343</v>
      </c>
      <c r="B107" s="10" t="s">
        <v>386</v>
      </c>
      <c r="C107" s="10">
        <v>1114</v>
      </c>
      <c r="D107" s="10" t="s">
        <v>339</v>
      </c>
      <c r="E107" s="30">
        <v>42029</v>
      </c>
      <c r="F107" s="80" t="s">
        <v>366</v>
      </c>
    </row>
    <row r="108" spans="1:6" x14ac:dyDescent="0.3">
      <c r="A108" s="74" t="s">
        <v>376</v>
      </c>
      <c r="B108" s="10" t="s">
        <v>409</v>
      </c>
      <c r="C108" s="10">
        <v>1115</v>
      </c>
      <c r="D108" s="10" t="s">
        <v>342</v>
      </c>
      <c r="E108" s="30">
        <v>41768</v>
      </c>
      <c r="F108" s="80" t="s">
        <v>367</v>
      </c>
    </row>
    <row r="109" spans="1:6" x14ac:dyDescent="0.3">
      <c r="A109" s="74" t="s">
        <v>343</v>
      </c>
      <c r="B109" s="10" t="s">
        <v>430</v>
      </c>
      <c r="C109" s="10">
        <v>1115</v>
      </c>
      <c r="D109" s="10" t="s">
        <v>337</v>
      </c>
      <c r="E109" s="30">
        <v>42292</v>
      </c>
      <c r="F109" s="80" t="s">
        <v>368</v>
      </c>
    </row>
    <row r="110" spans="1:6" x14ac:dyDescent="0.3">
      <c r="A110" s="74" t="s">
        <v>343</v>
      </c>
      <c r="B110" s="10" t="s">
        <v>378</v>
      </c>
      <c r="C110" s="10">
        <v>1118</v>
      </c>
      <c r="D110" s="10" t="s">
        <v>341</v>
      </c>
      <c r="E110" s="30">
        <v>41839</v>
      </c>
      <c r="F110" s="80" t="s">
        <v>369</v>
      </c>
    </row>
    <row r="111" spans="1:6" x14ac:dyDescent="0.3">
      <c r="A111" s="74" t="s">
        <v>332</v>
      </c>
      <c r="B111" s="10" t="s">
        <v>401</v>
      </c>
      <c r="C111" s="10">
        <v>1122</v>
      </c>
      <c r="D111" s="10" t="s">
        <v>337</v>
      </c>
      <c r="E111" s="30">
        <v>41691</v>
      </c>
      <c r="F111" s="80" t="s">
        <v>366</v>
      </c>
    </row>
    <row r="112" spans="1:6" x14ac:dyDescent="0.3">
      <c r="A112" s="74" t="s">
        <v>343</v>
      </c>
      <c r="B112" s="10" t="s">
        <v>396</v>
      </c>
      <c r="C112" s="10">
        <v>1124</v>
      </c>
      <c r="D112" s="10" t="s">
        <v>382</v>
      </c>
      <c r="E112" s="30">
        <v>41687</v>
      </c>
      <c r="F112" s="80" t="s">
        <v>366</v>
      </c>
    </row>
    <row r="113" spans="1:6" x14ac:dyDescent="0.3">
      <c r="A113" s="74" t="s">
        <v>335</v>
      </c>
      <c r="B113" s="10" t="s">
        <v>414</v>
      </c>
      <c r="C113" s="10">
        <v>1128</v>
      </c>
      <c r="D113" s="10" t="s">
        <v>382</v>
      </c>
      <c r="E113" s="30">
        <v>41742</v>
      </c>
      <c r="F113" s="80" t="s">
        <v>367</v>
      </c>
    </row>
    <row r="114" spans="1:6" x14ac:dyDescent="0.3">
      <c r="A114" s="74" t="s">
        <v>343</v>
      </c>
      <c r="B114" s="10" t="s">
        <v>378</v>
      </c>
      <c r="C114" s="10">
        <v>1130</v>
      </c>
      <c r="D114" s="10" t="s">
        <v>334</v>
      </c>
      <c r="E114" s="30">
        <v>42065</v>
      </c>
      <c r="F114" s="80" t="s">
        <v>366</v>
      </c>
    </row>
    <row r="115" spans="1:6" x14ac:dyDescent="0.3">
      <c r="A115" s="74" t="s">
        <v>332</v>
      </c>
      <c r="B115" s="10" t="s">
        <v>398</v>
      </c>
      <c r="C115" s="10">
        <v>1131</v>
      </c>
      <c r="D115" s="10" t="s">
        <v>337</v>
      </c>
      <c r="E115" s="30">
        <v>42221</v>
      </c>
      <c r="F115" s="80" t="s">
        <v>369</v>
      </c>
    </row>
    <row r="116" spans="1:6" x14ac:dyDescent="0.3">
      <c r="A116" s="74" t="s">
        <v>343</v>
      </c>
      <c r="B116" s="10" t="s">
        <v>378</v>
      </c>
      <c r="C116" s="10">
        <v>1132</v>
      </c>
      <c r="D116" s="10" t="s">
        <v>337</v>
      </c>
      <c r="E116" s="30">
        <v>42314</v>
      </c>
      <c r="F116" s="80" t="s">
        <v>368</v>
      </c>
    </row>
    <row r="117" spans="1:6" x14ac:dyDescent="0.3">
      <c r="A117" s="74" t="s">
        <v>350</v>
      </c>
      <c r="B117" s="10" t="s">
        <v>351</v>
      </c>
      <c r="C117" s="10">
        <v>1139</v>
      </c>
      <c r="D117" s="10" t="s">
        <v>345</v>
      </c>
      <c r="E117" s="30">
        <v>42053</v>
      </c>
      <c r="F117" s="80" t="s">
        <v>366</v>
      </c>
    </row>
    <row r="118" spans="1:6" x14ac:dyDescent="0.3">
      <c r="A118" s="74" t="s">
        <v>343</v>
      </c>
      <c r="B118" s="10" t="s">
        <v>417</v>
      </c>
      <c r="C118" s="10">
        <v>1141</v>
      </c>
      <c r="D118" s="10" t="s">
        <v>349</v>
      </c>
      <c r="E118" s="30">
        <v>41868</v>
      </c>
      <c r="F118" s="80" t="s">
        <v>369</v>
      </c>
    </row>
    <row r="119" spans="1:6" x14ac:dyDescent="0.3">
      <c r="A119" s="74" t="s">
        <v>370</v>
      </c>
      <c r="B119" s="10" t="s">
        <v>397</v>
      </c>
      <c r="C119" s="10">
        <v>1149</v>
      </c>
      <c r="D119" s="10" t="s">
        <v>339</v>
      </c>
      <c r="E119" s="30">
        <v>41980</v>
      </c>
      <c r="F119" s="80" t="s">
        <v>368</v>
      </c>
    </row>
    <row r="120" spans="1:6" x14ac:dyDescent="0.3">
      <c r="A120" s="74" t="s">
        <v>370</v>
      </c>
      <c r="B120" s="10" t="s">
        <v>387</v>
      </c>
      <c r="C120" s="10">
        <v>1163</v>
      </c>
      <c r="D120" s="10" t="s">
        <v>372</v>
      </c>
      <c r="E120" s="30">
        <v>42309</v>
      </c>
      <c r="F120" s="80" t="s">
        <v>368</v>
      </c>
    </row>
    <row r="121" spans="1:6" x14ac:dyDescent="0.3">
      <c r="A121" s="74" t="s">
        <v>373</v>
      </c>
      <c r="B121" s="10" t="s">
        <v>431</v>
      </c>
      <c r="C121" s="10">
        <v>1164</v>
      </c>
      <c r="D121" s="10" t="s">
        <v>349</v>
      </c>
      <c r="E121" s="30">
        <v>41686</v>
      </c>
      <c r="F121" s="80" t="s">
        <v>366</v>
      </c>
    </row>
    <row r="122" spans="1:6" x14ac:dyDescent="0.3">
      <c r="A122" s="74" t="s">
        <v>373</v>
      </c>
      <c r="B122" s="10" t="s">
        <v>428</v>
      </c>
      <c r="C122" s="10">
        <v>1168</v>
      </c>
      <c r="D122" s="10" t="s">
        <v>337</v>
      </c>
      <c r="E122" s="30">
        <v>42085</v>
      </c>
      <c r="F122" s="80" t="s">
        <v>366</v>
      </c>
    </row>
    <row r="123" spans="1:6" x14ac:dyDescent="0.3">
      <c r="A123" s="74" t="s">
        <v>343</v>
      </c>
      <c r="B123" s="10" t="s">
        <v>419</v>
      </c>
      <c r="C123" s="10">
        <v>1168</v>
      </c>
      <c r="D123" s="10" t="s">
        <v>391</v>
      </c>
      <c r="E123" s="30">
        <v>41806</v>
      </c>
      <c r="F123" s="80" t="s">
        <v>367</v>
      </c>
    </row>
    <row r="124" spans="1:6" x14ac:dyDescent="0.3">
      <c r="A124" s="74" t="s">
        <v>370</v>
      </c>
      <c r="B124" s="10" t="s">
        <v>389</v>
      </c>
      <c r="C124" s="10">
        <v>1172</v>
      </c>
      <c r="D124" s="10" t="s">
        <v>372</v>
      </c>
      <c r="E124" s="30">
        <v>41754</v>
      </c>
      <c r="F124" s="80" t="s">
        <v>367</v>
      </c>
    </row>
    <row r="125" spans="1:6" x14ac:dyDescent="0.3">
      <c r="A125" s="74" t="s">
        <v>335</v>
      </c>
      <c r="B125" s="10" t="s">
        <v>425</v>
      </c>
      <c r="C125" s="10">
        <v>1174</v>
      </c>
      <c r="D125" s="10" t="s">
        <v>334</v>
      </c>
      <c r="E125" s="30">
        <v>41821</v>
      </c>
      <c r="F125" s="80" t="s">
        <v>369</v>
      </c>
    </row>
    <row r="126" spans="1:6" x14ac:dyDescent="0.3">
      <c r="A126" s="74" t="s">
        <v>383</v>
      </c>
      <c r="B126" s="10" t="s">
        <v>399</v>
      </c>
      <c r="C126" s="10">
        <v>1194</v>
      </c>
      <c r="D126" s="10" t="s">
        <v>342</v>
      </c>
      <c r="E126" s="30">
        <v>41718</v>
      </c>
      <c r="F126" s="80" t="s">
        <v>366</v>
      </c>
    </row>
    <row r="127" spans="1:6" x14ac:dyDescent="0.3">
      <c r="A127" s="74" t="s">
        <v>343</v>
      </c>
      <c r="B127" s="10" t="s">
        <v>417</v>
      </c>
      <c r="C127" s="10">
        <v>1207</v>
      </c>
      <c r="D127" s="10" t="s">
        <v>345</v>
      </c>
      <c r="E127" s="30">
        <v>42208</v>
      </c>
      <c r="F127" s="80" t="s">
        <v>369</v>
      </c>
    </row>
    <row r="128" spans="1:6" x14ac:dyDescent="0.3">
      <c r="A128" s="74" t="s">
        <v>332</v>
      </c>
      <c r="B128" s="10" t="s">
        <v>333</v>
      </c>
      <c r="C128" s="10">
        <v>1212</v>
      </c>
      <c r="D128" s="10" t="s">
        <v>349</v>
      </c>
      <c r="E128" s="30">
        <v>42000</v>
      </c>
      <c r="F128" s="80" t="s">
        <v>368</v>
      </c>
    </row>
    <row r="129" spans="1:6" x14ac:dyDescent="0.3">
      <c r="A129" s="74" t="s">
        <v>350</v>
      </c>
      <c r="B129" s="10" t="s">
        <v>381</v>
      </c>
      <c r="C129" s="10">
        <v>1213</v>
      </c>
      <c r="D129" s="10" t="s">
        <v>349</v>
      </c>
      <c r="E129" s="30">
        <v>41898</v>
      </c>
      <c r="F129" s="80" t="s">
        <v>369</v>
      </c>
    </row>
    <row r="130" spans="1:6" x14ac:dyDescent="0.3">
      <c r="A130" s="74" t="s">
        <v>370</v>
      </c>
      <c r="B130" s="10" t="s">
        <v>397</v>
      </c>
      <c r="C130" s="10">
        <v>1224</v>
      </c>
      <c r="D130" s="10" t="s">
        <v>342</v>
      </c>
      <c r="E130" s="30">
        <v>42119</v>
      </c>
      <c r="F130" s="80" t="s">
        <v>367</v>
      </c>
    </row>
    <row r="131" spans="1:6" x14ac:dyDescent="0.3">
      <c r="A131" s="74" t="s">
        <v>343</v>
      </c>
      <c r="B131" s="10" t="s">
        <v>432</v>
      </c>
      <c r="C131" s="10">
        <v>1224</v>
      </c>
      <c r="D131" s="10" t="s">
        <v>372</v>
      </c>
      <c r="E131" s="30">
        <v>42128</v>
      </c>
      <c r="F131" s="80" t="s">
        <v>367</v>
      </c>
    </row>
    <row r="132" spans="1:6" x14ac:dyDescent="0.3">
      <c r="A132" s="74" t="s">
        <v>376</v>
      </c>
      <c r="B132" s="10" t="s">
        <v>377</v>
      </c>
      <c r="C132" s="10">
        <v>1225</v>
      </c>
      <c r="D132" s="10" t="s">
        <v>345</v>
      </c>
      <c r="E132" s="30">
        <v>42079</v>
      </c>
      <c r="F132" s="80" t="s">
        <v>366</v>
      </c>
    </row>
    <row r="133" spans="1:6" x14ac:dyDescent="0.3">
      <c r="A133" s="74" t="s">
        <v>335</v>
      </c>
      <c r="B133" s="10" t="s">
        <v>414</v>
      </c>
      <c r="C133" s="10">
        <v>1227</v>
      </c>
      <c r="D133" s="10" t="s">
        <v>391</v>
      </c>
      <c r="E133" s="30">
        <v>42051</v>
      </c>
      <c r="F133" s="80" t="s">
        <v>366</v>
      </c>
    </row>
    <row r="134" spans="1:6" x14ac:dyDescent="0.3">
      <c r="A134" s="74" t="s">
        <v>335</v>
      </c>
      <c r="B134" s="10" t="s">
        <v>405</v>
      </c>
      <c r="C134" s="10">
        <v>1237</v>
      </c>
      <c r="D134" s="10" t="s">
        <v>372</v>
      </c>
      <c r="E134" s="30">
        <v>41737</v>
      </c>
      <c r="F134" s="80" t="s">
        <v>367</v>
      </c>
    </row>
    <row r="135" spans="1:6" x14ac:dyDescent="0.3">
      <c r="A135" s="74" t="s">
        <v>373</v>
      </c>
      <c r="B135" s="10" t="s">
        <v>433</v>
      </c>
      <c r="C135" s="10">
        <v>1243</v>
      </c>
      <c r="D135" s="10" t="s">
        <v>339</v>
      </c>
      <c r="E135" s="30">
        <v>41764</v>
      </c>
      <c r="F135" s="80" t="s">
        <v>367</v>
      </c>
    </row>
    <row r="136" spans="1:6" x14ac:dyDescent="0.3">
      <c r="A136" s="74" t="s">
        <v>335</v>
      </c>
      <c r="B136" s="10" t="s">
        <v>393</v>
      </c>
      <c r="C136" s="10">
        <v>1244</v>
      </c>
      <c r="D136" s="10" t="s">
        <v>382</v>
      </c>
      <c r="E136" s="30">
        <v>42122</v>
      </c>
      <c r="F136" s="80" t="s">
        <v>367</v>
      </c>
    </row>
    <row r="137" spans="1:6" x14ac:dyDescent="0.3">
      <c r="A137" s="74" t="s">
        <v>373</v>
      </c>
      <c r="B137" s="10" t="s">
        <v>429</v>
      </c>
      <c r="C137" s="10">
        <v>1250</v>
      </c>
      <c r="D137" s="10" t="s">
        <v>334</v>
      </c>
      <c r="E137" s="30">
        <v>41696</v>
      </c>
      <c r="F137" s="80" t="s">
        <v>366</v>
      </c>
    </row>
    <row r="138" spans="1:6" x14ac:dyDescent="0.3">
      <c r="A138" s="74" t="s">
        <v>335</v>
      </c>
      <c r="B138" s="10" t="s">
        <v>405</v>
      </c>
      <c r="C138" s="10">
        <v>1252</v>
      </c>
      <c r="D138" s="10" t="s">
        <v>391</v>
      </c>
      <c r="E138" s="30">
        <v>42186</v>
      </c>
      <c r="F138" s="80" t="s">
        <v>369</v>
      </c>
    </row>
    <row r="139" spans="1:6" x14ac:dyDescent="0.3">
      <c r="A139" s="74" t="s">
        <v>332</v>
      </c>
      <c r="B139" s="10" t="s">
        <v>434</v>
      </c>
      <c r="C139" s="10">
        <v>1253</v>
      </c>
      <c r="D139" s="10" t="s">
        <v>391</v>
      </c>
      <c r="E139" s="30">
        <v>42078</v>
      </c>
      <c r="F139" s="80" t="s">
        <v>366</v>
      </c>
    </row>
    <row r="140" spans="1:6" x14ac:dyDescent="0.3">
      <c r="A140" s="74" t="s">
        <v>335</v>
      </c>
      <c r="B140" s="10" t="s">
        <v>425</v>
      </c>
      <c r="C140" s="10">
        <v>1256</v>
      </c>
      <c r="D140" s="10" t="s">
        <v>337</v>
      </c>
      <c r="E140" s="30">
        <v>42134</v>
      </c>
      <c r="F140" s="80" t="s">
        <v>367</v>
      </c>
    </row>
    <row r="141" spans="1:6" x14ac:dyDescent="0.3">
      <c r="A141" s="74" t="s">
        <v>383</v>
      </c>
      <c r="B141" s="10" t="s">
        <v>384</v>
      </c>
      <c r="C141" s="10">
        <v>1268</v>
      </c>
      <c r="D141" s="10" t="s">
        <v>349</v>
      </c>
      <c r="E141" s="30">
        <v>42102</v>
      </c>
      <c r="F141" s="80" t="s">
        <v>367</v>
      </c>
    </row>
    <row r="142" spans="1:6" x14ac:dyDescent="0.3">
      <c r="A142" s="74" t="s">
        <v>373</v>
      </c>
      <c r="B142" s="10" t="s">
        <v>390</v>
      </c>
      <c r="C142" s="10">
        <v>1273</v>
      </c>
      <c r="D142" s="10" t="s">
        <v>391</v>
      </c>
      <c r="E142" s="30">
        <v>41770</v>
      </c>
      <c r="F142" s="80" t="s">
        <v>367</v>
      </c>
    </row>
    <row r="143" spans="1:6" x14ac:dyDescent="0.3">
      <c r="A143" s="74" t="s">
        <v>350</v>
      </c>
      <c r="B143" s="10" t="s">
        <v>426</v>
      </c>
      <c r="C143" s="10">
        <v>1275</v>
      </c>
      <c r="D143" s="10" t="s">
        <v>334</v>
      </c>
      <c r="E143" s="30">
        <v>41975</v>
      </c>
      <c r="F143" s="80" t="s">
        <v>368</v>
      </c>
    </row>
    <row r="144" spans="1:6" x14ac:dyDescent="0.3">
      <c r="A144" s="74" t="s">
        <v>373</v>
      </c>
      <c r="B144" s="10" t="s">
        <v>433</v>
      </c>
      <c r="C144" s="10">
        <v>1279</v>
      </c>
      <c r="D144" s="10" t="s">
        <v>382</v>
      </c>
      <c r="E144" s="30">
        <v>42133</v>
      </c>
      <c r="F144" s="80" t="s">
        <v>367</v>
      </c>
    </row>
    <row r="145" spans="1:6" x14ac:dyDescent="0.3">
      <c r="A145" s="74" t="s">
        <v>335</v>
      </c>
      <c r="B145" s="10" t="s">
        <v>336</v>
      </c>
      <c r="C145" s="10">
        <v>1279</v>
      </c>
      <c r="D145" s="10" t="s">
        <v>372</v>
      </c>
      <c r="E145" s="30">
        <v>41871</v>
      </c>
      <c r="F145" s="80" t="s">
        <v>369</v>
      </c>
    </row>
    <row r="146" spans="1:6" x14ac:dyDescent="0.3">
      <c r="A146" s="74" t="s">
        <v>370</v>
      </c>
      <c r="B146" s="10" t="s">
        <v>395</v>
      </c>
      <c r="C146" s="10">
        <v>1282</v>
      </c>
      <c r="D146" s="10" t="s">
        <v>339</v>
      </c>
      <c r="E146" s="30">
        <v>42234</v>
      </c>
      <c r="F146" s="80" t="s">
        <v>369</v>
      </c>
    </row>
    <row r="147" spans="1:6" x14ac:dyDescent="0.3">
      <c r="A147" s="74" t="s">
        <v>335</v>
      </c>
      <c r="B147" s="10" t="s">
        <v>348</v>
      </c>
      <c r="C147" s="10">
        <v>1285</v>
      </c>
      <c r="D147" s="10" t="s">
        <v>382</v>
      </c>
      <c r="E147" s="30">
        <v>41675</v>
      </c>
      <c r="F147" s="80" t="s">
        <v>366</v>
      </c>
    </row>
    <row r="148" spans="1:6" x14ac:dyDescent="0.3">
      <c r="A148" s="74" t="s">
        <v>370</v>
      </c>
      <c r="B148" s="10" t="s">
        <v>388</v>
      </c>
      <c r="C148" s="10">
        <v>1286</v>
      </c>
      <c r="D148" s="10" t="s">
        <v>345</v>
      </c>
      <c r="E148" s="30">
        <v>42070</v>
      </c>
      <c r="F148" s="80" t="s">
        <v>366</v>
      </c>
    </row>
    <row r="149" spans="1:6" x14ac:dyDescent="0.3">
      <c r="A149" s="74" t="s">
        <v>343</v>
      </c>
      <c r="B149" s="10" t="s">
        <v>410</v>
      </c>
      <c r="C149" s="10">
        <v>1290</v>
      </c>
      <c r="D149" s="10" t="s">
        <v>382</v>
      </c>
      <c r="E149" s="30">
        <v>42008</v>
      </c>
      <c r="F149" s="80" t="s">
        <v>366</v>
      </c>
    </row>
    <row r="150" spans="1:6" x14ac:dyDescent="0.3">
      <c r="A150" s="74" t="s">
        <v>350</v>
      </c>
      <c r="B150" s="10" t="s">
        <v>394</v>
      </c>
      <c r="C150" s="10">
        <v>1290</v>
      </c>
      <c r="D150" s="10" t="s">
        <v>382</v>
      </c>
      <c r="E150" s="30">
        <v>42243</v>
      </c>
      <c r="F150" s="80" t="s">
        <v>369</v>
      </c>
    </row>
    <row r="151" spans="1:6" x14ac:dyDescent="0.3">
      <c r="A151" s="74" t="s">
        <v>332</v>
      </c>
      <c r="B151" s="10" t="s">
        <v>379</v>
      </c>
      <c r="C151" s="10">
        <v>1293</v>
      </c>
      <c r="D151" s="10" t="s">
        <v>337</v>
      </c>
      <c r="E151" s="30">
        <v>41766</v>
      </c>
      <c r="F151" s="80" t="s">
        <v>367</v>
      </c>
    </row>
    <row r="152" spans="1:6" x14ac:dyDescent="0.3">
      <c r="A152" s="74" t="s">
        <v>373</v>
      </c>
      <c r="B152" s="10" t="s">
        <v>421</v>
      </c>
      <c r="C152" s="10">
        <v>1293</v>
      </c>
      <c r="D152" s="10" t="s">
        <v>337</v>
      </c>
      <c r="E152" s="30">
        <v>41800</v>
      </c>
      <c r="F152" s="80" t="s">
        <v>367</v>
      </c>
    </row>
    <row r="153" spans="1:6" x14ac:dyDescent="0.3">
      <c r="A153" s="74" t="s">
        <v>370</v>
      </c>
      <c r="B153" s="10" t="s">
        <v>389</v>
      </c>
      <c r="C153" s="10">
        <v>1308</v>
      </c>
      <c r="D153" s="10" t="s">
        <v>345</v>
      </c>
      <c r="E153" s="30">
        <v>41700</v>
      </c>
      <c r="F153" s="80" t="s">
        <v>366</v>
      </c>
    </row>
    <row r="154" spans="1:6" x14ac:dyDescent="0.3">
      <c r="A154" s="74" t="s">
        <v>370</v>
      </c>
      <c r="B154" s="10" t="s">
        <v>371</v>
      </c>
      <c r="C154" s="10">
        <v>1310</v>
      </c>
      <c r="D154" s="10" t="s">
        <v>341</v>
      </c>
      <c r="E154" s="30">
        <v>41955</v>
      </c>
      <c r="F154" s="80" t="s">
        <v>368</v>
      </c>
    </row>
    <row r="155" spans="1:6" x14ac:dyDescent="0.3">
      <c r="A155" s="74" t="s">
        <v>370</v>
      </c>
      <c r="B155" s="10" t="s">
        <v>420</v>
      </c>
      <c r="C155" s="10">
        <v>1322</v>
      </c>
      <c r="D155" s="10" t="s">
        <v>349</v>
      </c>
      <c r="E155" s="30">
        <v>42087</v>
      </c>
      <c r="F155" s="80" t="s">
        <v>366</v>
      </c>
    </row>
    <row r="156" spans="1:6" x14ac:dyDescent="0.3">
      <c r="A156" s="74" t="s">
        <v>370</v>
      </c>
      <c r="B156" s="10" t="s">
        <v>420</v>
      </c>
      <c r="C156" s="10">
        <v>1322</v>
      </c>
      <c r="D156" s="10" t="s">
        <v>337</v>
      </c>
      <c r="E156" s="30">
        <v>42240</v>
      </c>
      <c r="F156" s="80" t="s">
        <v>369</v>
      </c>
    </row>
    <row r="157" spans="1:6" x14ac:dyDescent="0.3">
      <c r="A157" s="74" t="s">
        <v>370</v>
      </c>
      <c r="B157" s="10" t="s">
        <v>392</v>
      </c>
      <c r="C157" s="10">
        <v>1322</v>
      </c>
      <c r="D157" s="10" t="s">
        <v>391</v>
      </c>
      <c r="E157" s="30">
        <v>42351</v>
      </c>
      <c r="F157" s="80" t="s">
        <v>368</v>
      </c>
    </row>
    <row r="158" spans="1:6" x14ac:dyDescent="0.3">
      <c r="A158" s="74" t="s">
        <v>350</v>
      </c>
      <c r="B158" s="10" t="s">
        <v>416</v>
      </c>
      <c r="C158" s="10">
        <v>1328</v>
      </c>
      <c r="D158" s="10" t="s">
        <v>372</v>
      </c>
      <c r="E158" s="30">
        <v>42029</v>
      </c>
      <c r="F158" s="80" t="s">
        <v>366</v>
      </c>
    </row>
    <row r="159" spans="1:6" x14ac:dyDescent="0.3">
      <c r="A159" s="74" t="s">
        <v>373</v>
      </c>
      <c r="B159" s="10" t="s">
        <v>435</v>
      </c>
      <c r="C159" s="10">
        <v>1332</v>
      </c>
      <c r="D159" s="10" t="s">
        <v>339</v>
      </c>
      <c r="E159" s="30">
        <v>42143</v>
      </c>
      <c r="F159" s="80" t="s">
        <v>367</v>
      </c>
    </row>
    <row r="160" spans="1:6" x14ac:dyDescent="0.3">
      <c r="A160" s="74" t="s">
        <v>335</v>
      </c>
      <c r="B160" s="10" t="s">
        <v>436</v>
      </c>
      <c r="C160" s="10">
        <v>1334</v>
      </c>
      <c r="D160" s="10" t="s">
        <v>345</v>
      </c>
      <c r="E160" s="30">
        <v>42269</v>
      </c>
      <c r="F160" s="80" t="s">
        <v>369</v>
      </c>
    </row>
    <row r="161" spans="1:6" x14ac:dyDescent="0.3">
      <c r="A161" s="74" t="s">
        <v>370</v>
      </c>
      <c r="B161" s="10" t="s">
        <v>387</v>
      </c>
      <c r="C161" s="10">
        <v>1335</v>
      </c>
      <c r="D161" s="10" t="s">
        <v>342</v>
      </c>
      <c r="E161" s="30">
        <v>41842</v>
      </c>
      <c r="F161" s="80" t="s">
        <v>369</v>
      </c>
    </row>
    <row r="162" spans="1:6" x14ac:dyDescent="0.3">
      <c r="A162" s="74" t="s">
        <v>370</v>
      </c>
      <c r="B162" s="10" t="s">
        <v>418</v>
      </c>
      <c r="C162" s="10">
        <v>1339</v>
      </c>
      <c r="D162" s="10" t="s">
        <v>382</v>
      </c>
      <c r="E162" s="30">
        <v>41824</v>
      </c>
      <c r="F162" s="80" t="s">
        <v>369</v>
      </c>
    </row>
    <row r="163" spans="1:6" x14ac:dyDescent="0.3">
      <c r="A163" s="74" t="s">
        <v>383</v>
      </c>
      <c r="B163" s="10" t="s">
        <v>384</v>
      </c>
      <c r="C163" s="10">
        <v>1341</v>
      </c>
      <c r="D163" s="10" t="s">
        <v>341</v>
      </c>
      <c r="E163" s="30">
        <v>41995</v>
      </c>
      <c r="F163" s="80" t="s">
        <v>368</v>
      </c>
    </row>
    <row r="164" spans="1:6" x14ac:dyDescent="0.3">
      <c r="A164" s="74" t="s">
        <v>343</v>
      </c>
      <c r="B164" s="10" t="s">
        <v>432</v>
      </c>
      <c r="C164" s="10">
        <v>1342</v>
      </c>
      <c r="D164" s="10" t="s">
        <v>372</v>
      </c>
      <c r="E164" s="30">
        <v>41784</v>
      </c>
      <c r="F164" s="80" t="s">
        <v>367</v>
      </c>
    </row>
    <row r="165" spans="1:6" x14ac:dyDescent="0.3">
      <c r="A165" s="74" t="s">
        <v>376</v>
      </c>
      <c r="B165" s="10" t="s">
        <v>409</v>
      </c>
      <c r="C165" s="10">
        <v>1342</v>
      </c>
      <c r="D165" s="10" t="s">
        <v>337</v>
      </c>
      <c r="E165" s="30">
        <v>41777</v>
      </c>
      <c r="F165" s="80" t="s">
        <v>367</v>
      </c>
    </row>
    <row r="166" spans="1:6" x14ac:dyDescent="0.3">
      <c r="A166" s="74" t="s">
        <v>332</v>
      </c>
      <c r="B166" s="10" t="s">
        <v>401</v>
      </c>
      <c r="C166" s="10">
        <v>1344</v>
      </c>
      <c r="D166" s="10" t="s">
        <v>337</v>
      </c>
      <c r="E166" s="30">
        <v>42169</v>
      </c>
      <c r="F166" s="80" t="s">
        <v>367</v>
      </c>
    </row>
    <row r="167" spans="1:6" x14ac:dyDescent="0.3">
      <c r="A167" s="74" t="s">
        <v>350</v>
      </c>
      <c r="B167" s="10" t="s">
        <v>426</v>
      </c>
      <c r="C167" s="10">
        <v>1349</v>
      </c>
      <c r="D167" s="10" t="s">
        <v>341</v>
      </c>
      <c r="E167" s="30">
        <v>42020</v>
      </c>
      <c r="F167" s="80" t="s">
        <v>366</v>
      </c>
    </row>
    <row r="168" spans="1:6" x14ac:dyDescent="0.3">
      <c r="A168" s="74" t="s">
        <v>383</v>
      </c>
      <c r="B168" s="10" t="s">
        <v>424</v>
      </c>
      <c r="C168" s="10">
        <v>1349</v>
      </c>
      <c r="D168" s="10" t="s">
        <v>349</v>
      </c>
      <c r="E168" s="30">
        <v>42102</v>
      </c>
      <c r="F168" s="80" t="s">
        <v>367</v>
      </c>
    </row>
    <row r="169" spans="1:6" x14ac:dyDescent="0.3">
      <c r="A169" s="74" t="s">
        <v>343</v>
      </c>
      <c r="B169" s="10" t="s">
        <v>419</v>
      </c>
      <c r="C169" s="10">
        <v>1353</v>
      </c>
      <c r="D169" s="10" t="s">
        <v>342</v>
      </c>
      <c r="E169" s="30">
        <v>41994</v>
      </c>
      <c r="F169" s="80" t="s">
        <v>368</v>
      </c>
    </row>
    <row r="170" spans="1:6" x14ac:dyDescent="0.3">
      <c r="A170" s="74" t="s">
        <v>343</v>
      </c>
      <c r="B170" s="10" t="s">
        <v>386</v>
      </c>
      <c r="C170" s="10">
        <v>1363</v>
      </c>
      <c r="D170" s="10" t="s">
        <v>342</v>
      </c>
      <c r="E170" s="30">
        <v>42017</v>
      </c>
      <c r="F170" s="80" t="s">
        <v>366</v>
      </c>
    </row>
    <row r="171" spans="1:6" x14ac:dyDescent="0.3">
      <c r="A171" s="74" t="s">
        <v>373</v>
      </c>
      <c r="B171" s="10" t="s">
        <v>374</v>
      </c>
      <c r="C171" s="10">
        <v>1363</v>
      </c>
      <c r="D171" s="10" t="s">
        <v>349</v>
      </c>
      <c r="E171" s="30">
        <v>42160</v>
      </c>
      <c r="F171" s="80" t="s">
        <v>367</v>
      </c>
    </row>
    <row r="172" spans="1:6" x14ac:dyDescent="0.3">
      <c r="A172" s="74" t="s">
        <v>343</v>
      </c>
      <c r="B172" s="10" t="s">
        <v>410</v>
      </c>
      <c r="C172" s="10">
        <v>1368</v>
      </c>
      <c r="D172" s="10" t="s">
        <v>341</v>
      </c>
      <c r="E172" s="30">
        <v>42163</v>
      </c>
      <c r="F172" s="80" t="s">
        <v>367</v>
      </c>
    </row>
    <row r="173" spans="1:6" x14ac:dyDescent="0.3">
      <c r="A173" s="74" t="s">
        <v>373</v>
      </c>
      <c r="B173" s="10" t="s">
        <v>437</v>
      </c>
      <c r="C173" s="10">
        <v>1379</v>
      </c>
      <c r="D173" s="10" t="s">
        <v>372</v>
      </c>
      <c r="E173" s="30">
        <v>42000</v>
      </c>
      <c r="F173" s="80" t="s">
        <v>368</v>
      </c>
    </row>
    <row r="174" spans="1:6" x14ac:dyDescent="0.3">
      <c r="A174" s="74" t="s">
        <v>373</v>
      </c>
      <c r="B174" s="10" t="s">
        <v>374</v>
      </c>
      <c r="C174" s="10">
        <v>1386</v>
      </c>
      <c r="D174" s="10" t="s">
        <v>341</v>
      </c>
      <c r="E174" s="30">
        <v>41839</v>
      </c>
      <c r="F174" s="80" t="s">
        <v>369</v>
      </c>
    </row>
    <row r="175" spans="1:6" x14ac:dyDescent="0.3">
      <c r="A175" s="74" t="s">
        <v>343</v>
      </c>
      <c r="B175" s="10" t="s">
        <v>427</v>
      </c>
      <c r="C175" s="10">
        <v>1388</v>
      </c>
      <c r="D175" s="10" t="s">
        <v>345</v>
      </c>
      <c r="E175" s="30">
        <v>41661</v>
      </c>
      <c r="F175" s="80" t="s">
        <v>366</v>
      </c>
    </row>
    <row r="176" spans="1:6" x14ac:dyDescent="0.3">
      <c r="A176" s="74" t="s">
        <v>332</v>
      </c>
      <c r="B176" s="10" t="s">
        <v>401</v>
      </c>
      <c r="C176" s="10">
        <v>1389</v>
      </c>
      <c r="D176" s="10" t="s">
        <v>382</v>
      </c>
      <c r="E176" s="30">
        <v>41815</v>
      </c>
      <c r="F176" s="80" t="s">
        <v>367</v>
      </c>
    </row>
    <row r="177" spans="1:6" x14ac:dyDescent="0.3">
      <c r="A177" s="74" t="s">
        <v>332</v>
      </c>
      <c r="B177" s="10" t="s">
        <v>434</v>
      </c>
      <c r="C177" s="10">
        <v>1391</v>
      </c>
      <c r="D177" s="10" t="s">
        <v>372</v>
      </c>
      <c r="E177" s="30">
        <v>42172</v>
      </c>
      <c r="F177" s="80" t="s">
        <v>367</v>
      </c>
    </row>
    <row r="178" spans="1:6" x14ac:dyDescent="0.3">
      <c r="A178" s="74" t="s">
        <v>370</v>
      </c>
      <c r="B178" s="10" t="s">
        <v>387</v>
      </c>
      <c r="C178" s="10">
        <v>1394</v>
      </c>
      <c r="D178" s="10" t="s">
        <v>349</v>
      </c>
      <c r="E178" s="30">
        <v>41797</v>
      </c>
      <c r="F178" s="80" t="s">
        <v>367</v>
      </c>
    </row>
    <row r="179" spans="1:6" x14ac:dyDescent="0.3">
      <c r="A179" s="74" t="s">
        <v>376</v>
      </c>
      <c r="B179" s="10" t="s">
        <v>377</v>
      </c>
      <c r="C179" s="10">
        <v>1395</v>
      </c>
      <c r="D179" s="10" t="s">
        <v>382</v>
      </c>
      <c r="E179" s="30">
        <v>41821</v>
      </c>
      <c r="F179" s="80" t="s">
        <v>369</v>
      </c>
    </row>
    <row r="180" spans="1:6" x14ac:dyDescent="0.3">
      <c r="A180" s="74" t="s">
        <v>332</v>
      </c>
      <c r="B180" s="10" t="s">
        <v>398</v>
      </c>
      <c r="C180" s="10">
        <v>1399</v>
      </c>
      <c r="D180" s="10" t="s">
        <v>339</v>
      </c>
      <c r="E180" s="30">
        <v>41877</v>
      </c>
      <c r="F180" s="80" t="s">
        <v>369</v>
      </c>
    </row>
    <row r="181" spans="1:6" x14ac:dyDescent="0.3">
      <c r="A181" s="74" t="s">
        <v>370</v>
      </c>
      <c r="B181" s="10" t="s">
        <v>395</v>
      </c>
      <c r="C181" s="10">
        <v>1403</v>
      </c>
      <c r="D181" s="10" t="s">
        <v>339</v>
      </c>
      <c r="E181" s="30">
        <v>41695</v>
      </c>
      <c r="F181" s="80" t="s">
        <v>366</v>
      </c>
    </row>
    <row r="182" spans="1:6" x14ac:dyDescent="0.3">
      <c r="A182" s="74" t="s">
        <v>343</v>
      </c>
      <c r="B182" s="10" t="s">
        <v>400</v>
      </c>
      <c r="C182" s="10">
        <v>1404</v>
      </c>
      <c r="D182" s="10" t="s">
        <v>345</v>
      </c>
      <c r="E182" s="30">
        <v>41817</v>
      </c>
      <c r="F182" s="80" t="s">
        <v>367</v>
      </c>
    </row>
    <row r="183" spans="1:6" x14ac:dyDescent="0.3">
      <c r="A183" s="74" t="s">
        <v>335</v>
      </c>
      <c r="B183" s="10" t="s">
        <v>415</v>
      </c>
      <c r="C183" s="10">
        <v>1405</v>
      </c>
      <c r="D183" s="10" t="s">
        <v>339</v>
      </c>
      <c r="E183" s="30">
        <v>41990</v>
      </c>
      <c r="F183" s="80" t="s">
        <v>368</v>
      </c>
    </row>
    <row r="184" spans="1:6" x14ac:dyDescent="0.3">
      <c r="A184" s="74" t="s">
        <v>332</v>
      </c>
      <c r="B184" s="10" t="s">
        <v>379</v>
      </c>
      <c r="C184" s="10">
        <v>1415</v>
      </c>
      <c r="D184" s="10" t="s">
        <v>342</v>
      </c>
      <c r="E184" s="30">
        <v>41779</v>
      </c>
      <c r="F184" s="80" t="s">
        <v>367</v>
      </c>
    </row>
    <row r="185" spans="1:6" x14ac:dyDescent="0.3">
      <c r="A185" s="74" t="s">
        <v>383</v>
      </c>
      <c r="B185" s="10" t="s">
        <v>438</v>
      </c>
      <c r="C185" s="10">
        <v>1416</v>
      </c>
      <c r="D185" s="10" t="s">
        <v>337</v>
      </c>
      <c r="E185" s="30">
        <v>42301</v>
      </c>
      <c r="F185" s="80" t="s">
        <v>368</v>
      </c>
    </row>
    <row r="186" spans="1:6" x14ac:dyDescent="0.3">
      <c r="A186" s="74" t="s">
        <v>335</v>
      </c>
      <c r="B186" s="10" t="s">
        <v>338</v>
      </c>
      <c r="C186" s="10">
        <v>1429</v>
      </c>
      <c r="D186" s="10" t="s">
        <v>342</v>
      </c>
      <c r="E186" s="30">
        <v>41887</v>
      </c>
      <c r="F186" s="80" t="s">
        <v>369</v>
      </c>
    </row>
    <row r="187" spans="1:6" x14ac:dyDescent="0.3">
      <c r="A187" s="74" t="s">
        <v>350</v>
      </c>
      <c r="B187" s="10" t="s">
        <v>412</v>
      </c>
      <c r="C187" s="10">
        <v>1431</v>
      </c>
      <c r="D187" s="10" t="s">
        <v>342</v>
      </c>
      <c r="E187" s="30">
        <v>41892</v>
      </c>
      <c r="F187" s="80" t="s">
        <v>369</v>
      </c>
    </row>
    <row r="188" spans="1:6" x14ac:dyDescent="0.3">
      <c r="A188" s="74" t="s">
        <v>350</v>
      </c>
      <c r="B188" s="10" t="s">
        <v>426</v>
      </c>
      <c r="C188" s="10">
        <v>1432</v>
      </c>
      <c r="D188" s="10" t="s">
        <v>345</v>
      </c>
      <c r="E188" s="30">
        <v>41665</v>
      </c>
      <c r="F188" s="80" t="s">
        <v>366</v>
      </c>
    </row>
    <row r="189" spans="1:6" x14ac:dyDescent="0.3">
      <c r="A189" s="74" t="s">
        <v>383</v>
      </c>
      <c r="B189" s="10" t="s">
        <v>384</v>
      </c>
      <c r="C189" s="10">
        <v>1435</v>
      </c>
      <c r="D189" s="10" t="s">
        <v>382</v>
      </c>
      <c r="E189" s="30">
        <v>41894</v>
      </c>
      <c r="F189" s="80" t="s">
        <v>369</v>
      </c>
    </row>
    <row r="190" spans="1:6" x14ac:dyDescent="0.3">
      <c r="A190" s="74" t="s">
        <v>373</v>
      </c>
      <c r="B190" s="10" t="s">
        <v>375</v>
      </c>
      <c r="C190" s="10">
        <v>1440</v>
      </c>
      <c r="D190" s="10" t="s">
        <v>349</v>
      </c>
      <c r="E190" s="30">
        <v>42056</v>
      </c>
      <c r="F190" s="80" t="s">
        <v>366</v>
      </c>
    </row>
    <row r="191" spans="1:6" x14ac:dyDescent="0.3">
      <c r="A191" s="74" t="s">
        <v>343</v>
      </c>
      <c r="B191" s="10" t="s">
        <v>378</v>
      </c>
      <c r="C191" s="10">
        <v>1446</v>
      </c>
      <c r="D191" s="10" t="s">
        <v>334</v>
      </c>
      <c r="E191" s="30">
        <v>41862</v>
      </c>
      <c r="F191" s="80" t="s">
        <v>369</v>
      </c>
    </row>
    <row r="192" spans="1:6" x14ac:dyDescent="0.3">
      <c r="A192" s="74" t="s">
        <v>370</v>
      </c>
      <c r="B192" s="10" t="s">
        <v>388</v>
      </c>
      <c r="C192" s="10">
        <v>1453</v>
      </c>
      <c r="D192" s="10" t="s">
        <v>382</v>
      </c>
      <c r="E192" s="30">
        <v>42229</v>
      </c>
      <c r="F192" s="80" t="s">
        <v>369</v>
      </c>
    </row>
    <row r="193" spans="1:6" x14ac:dyDescent="0.3">
      <c r="A193" s="74" t="s">
        <v>370</v>
      </c>
      <c r="B193" s="10" t="s">
        <v>388</v>
      </c>
      <c r="C193" s="10">
        <v>1459</v>
      </c>
      <c r="D193" s="10" t="s">
        <v>339</v>
      </c>
      <c r="E193" s="30">
        <v>42255</v>
      </c>
      <c r="F193" s="80" t="s">
        <v>369</v>
      </c>
    </row>
    <row r="194" spans="1:6" x14ac:dyDescent="0.3">
      <c r="A194" s="74" t="s">
        <v>332</v>
      </c>
      <c r="B194" s="10" t="s">
        <v>401</v>
      </c>
      <c r="C194" s="10">
        <v>1462</v>
      </c>
      <c r="D194" s="10" t="s">
        <v>341</v>
      </c>
      <c r="E194" s="30">
        <v>41705</v>
      </c>
      <c r="F194" s="80" t="s">
        <v>366</v>
      </c>
    </row>
    <row r="195" spans="1:6" x14ac:dyDescent="0.3">
      <c r="A195" s="74" t="s">
        <v>350</v>
      </c>
      <c r="B195" s="10" t="s">
        <v>439</v>
      </c>
      <c r="C195" s="10">
        <v>1465</v>
      </c>
      <c r="D195" s="10" t="s">
        <v>334</v>
      </c>
      <c r="E195" s="30">
        <v>41689</v>
      </c>
      <c r="F195" s="80" t="s">
        <v>366</v>
      </c>
    </row>
    <row r="196" spans="1:6" x14ac:dyDescent="0.3">
      <c r="A196" s="74" t="s">
        <v>373</v>
      </c>
      <c r="B196" s="10" t="s">
        <v>423</v>
      </c>
      <c r="C196" s="10">
        <v>1465</v>
      </c>
      <c r="D196" s="10" t="s">
        <v>342</v>
      </c>
      <c r="E196" s="30">
        <v>42115</v>
      </c>
      <c r="F196" s="80" t="s">
        <v>367</v>
      </c>
    </row>
    <row r="197" spans="1:6" x14ac:dyDescent="0.3">
      <c r="A197" s="74" t="s">
        <v>373</v>
      </c>
      <c r="B197" s="10" t="s">
        <v>435</v>
      </c>
      <c r="C197" s="10">
        <v>1465</v>
      </c>
      <c r="D197" s="10" t="s">
        <v>349</v>
      </c>
      <c r="E197" s="30">
        <v>41993</v>
      </c>
      <c r="F197" s="80" t="s">
        <v>368</v>
      </c>
    </row>
    <row r="198" spans="1:6" x14ac:dyDescent="0.3">
      <c r="A198" s="74" t="s">
        <v>350</v>
      </c>
      <c r="B198" s="10" t="s">
        <v>426</v>
      </c>
      <c r="C198" s="10">
        <v>1467</v>
      </c>
      <c r="D198" s="10" t="s">
        <v>372</v>
      </c>
      <c r="E198" s="30">
        <v>42256</v>
      </c>
      <c r="F198" s="80" t="s">
        <v>369</v>
      </c>
    </row>
    <row r="199" spans="1:6" x14ac:dyDescent="0.3">
      <c r="A199" s="74" t="s">
        <v>373</v>
      </c>
      <c r="B199" s="10" t="s">
        <v>429</v>
      </c>
      <c r="C199" s="10">
        <v>1475</v>
      </c>
      <c r="D199" s="10" t="s">
        <v>339</v>
      </c>
      <c r="E199" s="30">
        <v>42146</v>
      </c>
      <c r="F199" s="80" t="s">
        <v>367</v>
      </c>
    </row>
    <row r="200" spans="1:6" x14ac:dyDescent="0.3">
      <c r="A200" s="74" t="s">
        <v>373</v>
      </c>
      <c r="B200" s="10" t="s">
        <v>435</v>
      </c>
      <c r="C200" s="10">
        <v>1476</v>
      </c>
      <c r="D200" s="10" t="s">
        <v>337</v>
      </c>
      <c r="E200" s="30">
        <v>41761</v>
      </c>
      <c r="F200" s="80" t="s">
        <v>367</v>
      </c>
    </row>
    <row r="201" spans="1:6" x14ac:dyDescent="0.3">
      <c r="A201" s="74" t="s">
        <v>350</v>
      </c>
      <c r="B201" s="10" t="s">
        <v>416</v>
      </c>
      <c r="C201" s="10">
        <v>1479</v>
      </c>
      <c r="D201" s="10" t="s">
        <v>341</v>
      </c>
      <c r="E201" s="30">
        <v>42159</v>
      </c>
      <c r="F201" s="80" t="s">
        <v>367</v>
      </c>
    </row>
    <row r="202" spans="1:6" x14ac:dyDescent="0.3">
      <c r="A202" s="74" t="s">
        <v>383</v>
      </c>
      <c r="B202" s="10" t="s">
        <v>440</v>
      </c>
      <c r="C202" s="10">
        <v>1480</v>
      </c>
      <c r="D202" s="10" t="s">
        <v>337</v>
      </c>
      <c r="E202" s="30">
        <v>42332</v>
      </c>
      <c r="F202" s="80" t="s">
        <v>368</v>
      </c>
    </row>
    <row r="203" spans="1:6" x14ac:dyDescent="0.3">
      <c r="A203" s="74" t="s">
        <v>350</v>
      </c>
      <c r="B203" s="10" t="s">
        <v>439</v>
      </c>
      <c r="C203" s="10">
        <v>1481</v>
      </c>
      <c r="D203" s="10" t="s">
        <v>345</v>
      </c>
      <c r="E203" s="30">
        <v>41744</v>
      </c>
      <c r="F203" s="80" t="s">
        <v>367</v>
      </c>
    </row>
    <row r="204" spans="1:6" x14ac:dyDescent="0.3">
      <c r="A204" s="74" t="s">
        <v>343</v>
      </c>
      <c r="B204" s="10" t="s">
        <v>441</v>
      </c>
      <c r="C204" s="10">
        <v>1481</v>
      </c>
      <c r="D204" s="10" t="s">
        <v>372</v>
      </c>
      <c r="E204" s="30">
        <v>42359</v>
      </c>
      <c r="F204" s="80" t="s">
        <v>368</v>
      </c>
    </row>
    <row r="205" spans="1:6" x14ac:dyDescent="0.3">
      <c r="A205" s="74" t="s">
        <v>332</v>
      </c>
      <c r="B205" s="10" t="s">
        <v>407</v>
      </c>
      <c r="C205" s="10">
        <v>1482</v>
      </c>
      <c r="D205" s="10" t="s">
        <v>345</v>
      </c>
      <c r="E205" s="30">
        <v>42106</v>
      </c>
      <c r="F205" s="80" t="s">
        <v>367</v>
      </c>
    </row>
    <row r="206" spans="1:6" x14ac:dyDescent="0.3">
      <c r="A206" s="74" t="s">
        <v>332</v>
      </c>
      <c r="B206" s="10" t="s">
        <v>340</v>
      </c>
      <c r="C206" s="10">
        <v>1485</v>
      </c>
      <c r="D206" s="10" t="s">
        <v>345</v>
      </c>
      <c r="E206" s="30">
        <v>41938</v>
      </c>
      <c r="F206" s="80" t="s">
        <v>368</v>
      </c>
    </row>
    <row r="207" spans="1:6" x14ac:dyDescent="0.3">
      <c r="A207" s="74" t="s">
        <v>332</v>
      </c>
      <c r="B207" s="10" t="s">
        <v>340</v>
      </c>
      <c r="C207" s="10">
        <v>1486</v>
      </c>
      <c r="D207" s="10" t="s">
        <v>349</v>
      </c>
      <c r="E207" s="30">
        <v>42340</v>
      </c>
      <c r="F207" s="80" t="s">
        <v>368</v>
      </c>
    </row>
    <row r="208" spans="1:6" x14ac:dyDescent="0.3">
      <c r="A208" s="74" t="s">
        <v>343</v>
      </c>
      <c r="B208" s="10" t="s">
        <v>430</v>
      </c>
      <c r="C208" s="10">
        <v>1509</v>
      </c>
      <c r="D208" s="10" t="s">
        <v>345</v>
      </c>
      <c r="E208" s="30">
        <v>41774</v>
      </c>
      <c r="F208" s="80" t="s">
        <v>367</v>
      </c>
    </row>
    <row r="209" spans="1:6" x14ac:dyDescent="0.3">
      <c r="A209" s="74" t="s">
        <v>343</v>
      </c>
      <c r="B209" s="10" t="s">
        <v>400</v>
      </c>
      <c r="C209" s="10">
        <v>1509</v>
      </c>
      <c r="D209" s="10" t="s">
        <v>372</v>
      </c>
      <c r="E209" s="30">
        <v>41892</v>
      </c>
      <c r="F209" s="80" t="s">
        <v>369</v>
      </c>
    </row>
    <row r="210" spans="1:6" x14ac:dyDescent="0.3">
      <c r="A210" s="74" t="s">
        <v>370</v>
      </c>
      <c r="B210" s="10" t="s">
        <v>388</v>
      </c>
      <c r="C210" s="10">
        <v>1512</v>
      </c>
      <c r="D210" s="10" t="s">
        <v>349</v>
      </c>
      <c r="E210" s="30">
        <v>42265</v>
      </c>
      <c r="F210" s="80" t="s">
        <v>369</v>
      </c>
    </row>
    <row r="211" spans="1:6" x14ac:dyDescent="0.3">
      <c r="A211" s="74" t="s">
        <v>383</v>
      </c>
      <c r="B211" s="10" t="s">
        <v>440</v>
      </c>
      <c r="C211" s="10">
        <v>1517</v>
      </c>
      <c r="D211" s="10" t="s">
        <v>342</v>
      </c>
      <c r="E211" s="30">
        <v>41687</v>
      </c>
      <c r="F211" s="80" t="s">
        <v>366</v>
      </c>
    </row>
    <row r="212" spans="1:6" x14ac:dyDescent="0.3">
      <c r="A212" s="74" t="s">
        <v>335</v>
      </c>
      <c r="B212" s="10" t="s">
        <v>403</v>
      </c>
      <c r="C212" s="10">
        <v>1521</v>
      </c>
      <c r="D212" s="10" t="s">
        <v>349</v>
      </c>
      <c r="E212" s="30">
        <v>42134</v>
      </c>
      <c r="F212" s="80" t="s">
        <v>367</v>
      </c>
    </row>
    <row r="213" spans="1:6" x14ac:dyDescent="0.3">
      <c r="A213" s="74" t="s">
        <v>343</v>
      </c>
      <c r="B213" s="10" t="s">
        <v>430</v>
      </c>
      <c r="C213" s="10">
        <v>1523</v>
      </c>
      <c r="D213" s="10" t="s">
        <v>349</v>
      </c>
      <c r="E213" s="30">
        <v>42196</v>
      </c>
      <c r="F213" s="80" t="s">
        <v>369</v>
      </c>
    </row>
    <row r="214" spans="1:6" x14ac:dyDescent="0.3">
      <c r="A214" s="74" t="s">
        <v>376</v>
      </c>
      <c r="B214" s="10" t="s">
        <v>380</v>
      </c>
      <c r="C214" s="10">
        <v>1524</v>
      </c>
      <c r="D214" s="10" t="s">
        <v>334</v>
      </c>
      <c r="E214" s="30">
        <v>41878</v>
      </c>
      <c r="F214" s="80" t="s">
        <v>369</v>
      </c>
    </row>
    <row r="215" spans="1:6" x14ac:dyDescent="0.3">
      <c r="A215" s="74" t="s">
        <v>343</v>
      </c>
      <c r="B215" s="10" t="s">
        <v>378</v>
      </c>
      <c r="C215" s="10">
        <v>1525</v>
      </c>
      <c r="D215" s="10" t="s">
        <v>342</v>
      </c>
      <c r="E215" s="30">
        <v>41863</v>
      </c>
      <c r="F215" s="80" t="s">
        <v>369</v>
      </c>
    </row>
    <row r="216" spans="1:6" x14ac:dyDescent="0.3">
      <c r="A216" s="74" t="s">
        <v>376</v>
      </c>
      <c r="B216" s="10" t="s">
        <v>380</v>
      </c>
      <c r="C216" s="10">
        <v>1528</v>
      </c>
      <c r="D216" s="10" t="s">
        <v>341</v>
      </c>
      <c r="E216" s="30">
        <v>41803</v>
      </c>
      <c r="F216" s="80" t="s">
        <v>367</v>
      </c>
    </row>
    <row r="217" spans="1:6" x14ac:dyDescent="0.3">
      <c r="A217" s="74" t="s">
        <v>332</v>
      </c>
      <c r="B217" s="10" t="s">
        <v>333</v>
      </c>
      <c r="C217" s="10">
        <v>1530</v>
      </c>
      <c r="D217" s="10" t="s">
        <v>382</v>
      </c>
      <c r="E217" s="30">
        <v>42220</v>
      </c>
      <c r="F217" s="80" t="s">
        <v>369</v>
      </c>
    </row>
    <row r="218" spans="1:6" x14ac:dyDescent="0.3">
      <c r="A218" s="74" t="s">
        <v>343</v>
      </c>
      <c r="B218" s="10" t="s">
        <v>441</v>
      </c>
      <c r="C218" s="10">
        <v>1531</v>
      </c>
      <c r="D218" s="10" t="s">
        <v>382</v>
      </c>
      <c r="E218" s="30">
        <v>41643</v>
      </c>
      <c r="F218" s="80" t="s">
        <v>366</v>
      </c>
    </row>
    <row r="219" spans="1:6" x14ac:dyDescent="0.3">
      <c r="A219" s="74" t="s">
        <v>350</v>
      </c>
      <c r="B219" s="10" t="s">
        <v>394</v>
      </c>
      <c r="C219" s="10">
        <v>1535</v>
      </c>
      <c r="D219" s="10" t="s">
        <v>337</v>
      </c>
      <c r="E219" s="30">
        <v>41694</v>
      </c>
      <c r="F219" s="80" t="s">
        <v>366</v>
      </c>
    </row>
    <row r="220" spans="1:6" x14ac:dyDescent="0.3">
      <c r="A220" s="74" t="s">
        <v>370</v>
      </c>
      <c r="B220" s="10" t="s">
        <v>442</v>
      </c>
      <c r="C220" s="10">
        <v>1540</v>
      </c>
      <c r="D220" s="10" t="s">
        <v>339</v>
      </c>
      <c r="E220" s="30">
        <v>41809</v>
      </c>
      <c r="F220" s="80" t="s">
        <v>367</v>
      </c>
    </row>
    <row r="221" spans="1:6" x14ac:dyDescent="0.3">
      <c r="A221" s="74" t="s">
        <v>343</v>
      </c>
      <c r="B221" s="10" t="s">
        <v>413</v>
      </c>
      <c r="C221" s="10">
        <v>1541</v>
      </c>
      <c r="D221" s="10" t="s">
        <v>337</v>
      </c>
      <c r="E221" s="30">
        <v>41754</v>
      </c>
      <c r="F221" s="80" t="s">
        <v>367</v>
      </c>
    </row>
    <row r="222" spans="1:6" x14ac:dyDescent="0.3">
      <c r="A222" s="74" t="s">
        <v>373</v>
      </c>
      <c r="B222" s="10" t="s">
        <v>375</v>
      </c>
      <c r="C222" s="10">
        <v>1542</v>
      </c>
      <c r="D222" s="10" t="s">
        <v>349</v>
      </c>
      <c r="E222" s="30">
        <v>41953</v>
      </c>
      <c r="F222" s="80" t="s">
        <v>368</v>
      </c>
    </row>
    <row r="223" spans="1:6" x14ac:dyDescent="0.3">
      <c r="A223" s="74" t="s">
        <v>332</v>
      </c>
      <c r="B223" s="10" t="s">
        <v>401</v>
      </c>
      <c r="C223" s="10">
        <v>1557</v>
      </c>
      <c r="D223" s="10" t="s">
        <v>391</v>
      </c>
      <c r="E223" s="30">
        <v>42181</v>
      </c>
      <c r="F223" s="80" t="s">
        <v>367</v>
      </c>
    </row>
    <row r="224" spans="1:6" x14ac:dyDescent="0.3">
      <c r="A224" s="74" t="s">
        <v>335</v>
      </c>
      <c r="B224" s="10" t="s">
        <v>336</v>
      </c>
      <c r="C224" s="10">
        <v>1562</v>
      </c>
      <c r="D224" s="10" t="s">
        <v>345</v>
      </c>
      <c r="E224" s="30">
        <v>41775</v>
      </c>
      <c r="F224" s="80" t="s">
        <v>367</v>
      </c>
    </row>
    <row r="225" spans="1:6" x14ac:dyDescent="0.3">
      <c r="A225" s="74" t="s">
        <v>343</v>
      </c>
      <c r="B225" s="10" t="s">
        <v>430</v>
      </c>
      <c r="C225" s="10">
        <v>1566</v>
      </c>
      <c r="D225" s="10" t="s">
        <v>339</v>
      </c>
      <c r="E225" s="30">
        <v>42320</v>
      </c>
      <c r="F225" s="80" t="s">
        <v>368</v>
      </c>
    </row>
    <row r="226" spans="1:6" x14ac:dyDescent="0.3">
      <c r="A226" s="74" t="s">
        <v>350</v>
      </c>
      <c r="B226" s="10" t="s">
        <v>426</v>
      </c>
      <c r="C226" s="10">
        <v>1570</v>
      </c>
      <c r="D226" s="10" t="s">
        <v>341</v>
      </c>
      <c r="E226" s="30">
        <v>42213</v>
      </c>
      <c r="F226" s="80" t="s">
        <v>369</v>
      </c>
    </row>
    <row r="227" spans="1:6" x14ac:dyDescent="0.3">
      <c r="A227" s="74" t="s">
        <v>343</v>
      </c>
      <c r="B227" s="10" t="s">
        <v>396</v>
      </c>
      <c r="C227" s="10">
        <v>1570</v>
      </c>
      <c r="D227" s="10" t="s">
        <v>391</v>
      </c>
      <c r="E227" s="30">
        <v>41929</v>
      </c>
      <c r="F227" s="80" t="s">
        <v>368</v>
      </c>
    </row>
    <row r="228" spans="1:6" x14ac:dyDescent="0.3">
      <c r="A228" s="74" t="s">
        <v>370</v>
      </c>
      <c r="B228" s="10" t="s">
        <v>442</v>
      </c>
      <c r="C228" s="10">
        <v>1572</v>
      </c>
      <c r="D228" s="10" t="s">
        <v>349</v>
      </c>
      <c r="E228" s="30">
        <v>41988</v>
      </c>
      <c r="F228" s="80" t="s">
        <v>368</v>
      </c>
    </row>
    <row r="229" spans="1:6" x14ac:dyDescent="0.3">
      <c r="A229" s="74" t="s">
        <v>332</v>
      </c>
      <c r="B229" s="10" t="s">
        <v>407</v>
      </c>
      <c r="C229" s="10">
        <v>1573</v>
      </c>
      <c r="D229" s="10" t="s">
        <v>334</v>
      </c>
      <c r="E229" s="30">
        <v>42182</v>
      </c>
      <c r="F229" s="80" t="s">
        <v>367</v>
      </c>
    </row>
    <row r="230" spans="1:6" x14ac:dyDescent="0.3">
      <c r="A230" s="74" t="s">
        <v>350</v>
      </c>
      <c r="B230" s="10" t="s">
        <v>443</v>
      </c>
      <c r="C230" s="10">
        <v>1579</v>
      </c>
      <c r="D230" s="10" t="s">
        <v>345</v>
      </c>
      <c r="E230" s="30">
        <v>42065</v>
      </c>
      <c r="F230" s="80" t="s">
        <v>366</v>
      </c>
    </row>
    <row r="231" spans="1:6" x14ac:dyDescent="0.3">
      <c r="A231" s="74" t="s">
        <v>373</v>
      </c>
      <c r="B231" s="10" t="s">
        <v>375</v>
      </c>
      <c r="C231" s="10">
        <v>1590</v>
      </c>
      <c r="D231" s="10" t="s">
        <v>341</v>
      </c>
      <c r="E231" s="30">
        <v>41930</v>
      </c>
      <c r="F231" s="80" t="s">
        <v>368</v>
      </c>
    </row>
    <row r="232" spans="1:6" x14ac:dyDescent="0.3">
      <c r="A232" s="74" t="s">
        <v>373</v>
      </c>
      <c r="B232" s="10" t="s">
        <v>429</v>
      </c>
      <c r="C232" s="10">
        <v>1592</v>
      </c>
      <c r="D232" s="10" t="s">
        <v>349</v>
      </c>
      <c r="E232" s="30">
        <v>41756</v>
      </c>
      <c r="F232" s="80" t="s">
        <v>367</v>
      </c>
    </row>
    <row r="233" spans="1:6" x14ac:dyDescent="0.3">
      <c r="A233" s="74" t="s">
        <v>370</v>
      </c>
      <c r="B233" s="10" t="s">
        <v>392</v>
      </c>
      <c r="C233" s="10">
        <v>1596</v>
      </c>
      <c r="D233" s="10" t="s">
        <v>382</v>
      </c>
      <c r="E233" s="30">
        <v>41846</v>
      </c>
      <c r="F233" s="80" t="s">
        <v>369</v>
      </c>
    </row>
    <row r="234" spans="1:6" x14ac:dyDescent="0.3">
      <c r="A234" s="74" t="s">
        <v>370</v>
      </c>
      <c r="B234" s="10" t="s">
        <v>392</v>
      </c>
      <c r="C234" s="10">
        <v>1597</v>
      </c>
      <c r="D234" s="10" t="s">
        <v>341</v>
      </c>
      <c r="E234" s="30">
        <v>42309</v>
      </c>
      <c r="F234" s="80" t="s">
        <v>368</v>
      </c>
    </row>
    <row r="235" spans="1:6" x14ac:dyDescent="0.3">
      <c r="A235" s="74" t="s">
        <v>383</v>
      </c>
      <c r="B235" s="10" t="s">
        <v>411</v>
      </c>
      <c r="C235" s="10">
        <v>1598</v>
      </c>
      <c r="D235" s="10" t="s">
        <v>337</v>
      </c>
      <c r="E235" s="30">
        <v>41904</v>
      </c>
      <c r="F235" s="80" t="s">
        <v>369</v>
      </c>
    </row>
    <row r="236" spans="1:6" x14ac:dyDescent="0.3">
      <c r="A236" s="74" t="s">
        <v>343</v>
      </c>
      <c r="B236" s="10" t="s">
        <v>410</v>
      </c>
      <c r="C236" s="10">
        <v>1599</v>
      </c>
      <c r="D236" s="10" t="s">
        <v>339</v>
      </c>
      <c r="E236" s="30">
        <v>42193</v>
      </c>
      <c r="F236" s="80" t="s">
        <v>369</v>
      </c>
    </row>
    <row r="237" spans="1:6" x14ac:dyDescent="0.3">
      <c r="A237" s="74" t="s">
        <v>350</v>
      </c>
      <c r="B237" s="10" t="s">
        <v>351</v>
      </c>
      <c r="C237" s="10">
        <v>1607</v>
      </c>
      <c r="D237" s="10" t="s">
        <v>372</v>
      </c>
      <c r="E237" s="30">
        <v>41933</v>
      </c>
      <c r="F237" s="80" t="s">
        <v>368</v>
      </c>
    </row>
    <row r="238" spans="1:6" x14ac:dyDescent="0.3">
      <c r="A238" s="74" t="s">
        <v>383</v>
      </c>
      <c r="B238" s="10" t="s">
        <v>440</v>
      </c>
      <c r="C238" s="10">
        <v>1617</v>
      </c>
      <c r="D238" s="10" t="s">
        <v>337</v>
      </c>
      <c r="E238" s="30">
        <v>42073</v>
      </c>
      <c r="F238" s="80" t="s">
        <v>366</v>
      </c>
    </row>
    <row r="239" spans="1:6" x14ac:dyDescent="0.3">
      <c r="A239" s="74" t="s">
        <v>350</v>
      </c>
      <c r="B239" s="10" t="s">
        <v>416</v>
      </c>
      <c r="C239" s="10">
        <v>1617</v>
      </c>
      <c r="D239" s="10" t="s">
        <v>391</v>
      </c>
      <c r="E239" s="30">
        <v>42331</v>
      </c>
      <c r="F239" s="80" t="s">
        <v>368</v>
      </c>
    </row>
    <row r="240" spans="1:6" x14ac:dyDescent="0.3">
      <c r="A240" s="74" t="s">
        <v>373</v>
      </c>
      <c r="B240" s="10" t="s">
        <v>435</v>
      </c>
      <c r="C240" s="10">
        <v>1619</v>
      </c>
      <c r="D240" s="10" t="s">
        <v>372</v>
      </c>
      <c r="E240" s="30">
        <v>41776</v>
      </c>
      <c r="F240" s="80" t="s">
        <v>367</v>
      </c>
    </row>
    <row r="241" spans="1:6" x14ac:dyDescent="0.3">
      <c r="A241" s="74" t="s">
        <v>350</v>
      </c>
      <c r="B241" s="10" t="s">
        <v>416</v>
      </c>
      <c r="C241" s="10">
        <v>1621</v>
      </c>
      <c r="D241" s="10" t="s">
        <v>349</v>
      </c>
      <c r="E241" s="30">
        <v>41699</v>
      </c>
      <c r="F241" s="80" t="s">
        <v>366</v>
      </c>
    </row>
    <row r="242" spans="1:6" x14ac:dyDescent="0.3">
      <c r="A242" s="74" t="s">
        <v>332</v>
      </c>
      <c r="B242" s="10" t="s">
        <v>444</v>
      </c>
      <c r="C242" s="10">
        <v>1631</v>
      </c>
      <c r="D242" s="10" t="s">
        <v>345</v>
      </c>
      <c r="E242" s="30">
        <v>41903</v>
      </c>
      <c r="F242" s="80" t="s">
        <v>369</v>
      </c>
    </row>
    <row r="243" spans="1:6" x14ac:dyDescent="0.3">
      <c r="A243" s="74" t="s">
        <v>370</v>
      </c>
      <c r="B243" s="10" t="s">
        <v>420</v>
      </c>
      <c r="C243" s="10">
        <v>1640</v>
      </c>
      <c r="D243" s="10" t="s">
        <v>372</v>
      </c>
      <c r="E243" s="30">
        <v>42085</v>
      </c>
      <c r="F243" s="80" t="s">
        <v>366</v>
      </c>
    </row>
    <row r="244" spans="1:6" x14ac:dyDescent="0.3">
      <c r="A244" s="74" t="s">
        <v>332</v>
      </c>
      <c r="B244" s="10" t="s">
        <v>333</v>
      </c>
      <c r="C244" s="10">
        <v>1646</v>
      </c>
      <c r="D244" s="10" t="s">
        <v>391</v>
      </c>
      <c r="E244" s="30">
        <v>42196</v>
      </c>
      <c r="F244" s="80" t="s">
        <v>369</v>
      </c>
    </row>
    <row r="245" spans="1:6" x14ac:dyDescent="0.3">
      <c r="A245" s="74" t="s">
        <v>370</v>
      </c>
      <c r="B245" s="10" t="s">
        <v>395</v>
      </c>
      <c r="C245" s="10">
        <v>1647</v>
      </c>
      <c r="D245" s="10" t="s">
        <v>382</v>
      </c>
      <c r="E245" s="30">
        <v>41990</v>
      </c>
      <c r="F245" s="80" t="s">
        <v>368</v>
      </c>
    </row>
    <row r="246" spans="1:6" x14ac:dyDescent="0.3">
      <c r="A246" s="74" t="s">
        <v>343</v>
      </c>
      <c r="B246" s="10" t="s">
        <v>432</v>
      </c>
      <c r="C246" s="10">
        <v>1649</v>
      </c>
      <c r="D246" s="10" t="s">
        <v>349</v>
      </c>
      <c r="E246" s="30">
        <v>41983</v>
      </c>
      <c r="F246" s="80" t="s">
        <v>368</v>
      </c>
    </row>
    <row r="247" spans="1:6" x14ac:dyDescent="0.3">
      <c r="A247" s="74" t="s">
        <v>376</v>
      </c>
      <c r="B247" s="10" t="s">
        <v>404</v>
      </c>
      <c r="C247" s="10">
        <v>1651</v>
      </c>
      <c r="D247" s="10" t="s">
        <v>382</v>
      </c>
      <c r="E247" s="30">
        <v>41644</v>
      </c>
      <c r="F247" s="80" t="s">
        <v>366</v>
      </c>
    </row>
    <row r="248" spans="1:6" x14ac:dyDescent="0.3">
      <c r="A248" s="74" t="s">
        <v>335</v>
      </c>
      <c r="B248" s="10" t="s">
        <v>425</v>
      </c>
      <c r="C248" s="10">
        <v>1654</v>
      </c>
      <c r="D248" s="10" t="s">
        <v>341</v>
      </c>
      <c r="E248" s="30">
        <v>42102</v>
      </c>
      <c r="F248" s="80" t="s">
        <v>367</v>
      </c>
    </row>
    <row r="249" spans="1:6" x14ac:dyDescent="0.3">
      <c r="A249" s="74" t="s">
        <v>370</v>
      </c>
      <c r="B249" s="10" t="s">
        <v>388</v>
      </c>
      <c r="C249" s="10">
        <v>1656</v>
      </c>
      <c r="D249" s="10" t="s">
        <v>349</v>
      </c>
      <c r="E249" s="30">
        <v>41865</v>
      </c>
      <c r="F249" s="80" t="s">
        <v>369</v>
      </c>
    </row>
    <row r="250" spans="1:6" x14ac:dyDescent="0.3">
      <c r="A250" s="74" t="s">
        <v>343</v>
      </c>
      <c r="B250" s="10" t="s">
        <v>347</v>
      </c>
      <c r="C250" s="10">
        <v>1657</v>
      </c>
      <c r="D250" s="10" t="s">
        <v>339</v>
      </c>
      <c r="E250" s="30">
        <v>42195</v>
      </c>
      <c r="F250" s="80" t="s">
        <v>369</v>
      </c>
    </row>
    <row r="251" spans="1:6" x14ac:dyDescent="0.3">
      <c r="A251" s="74" t="s">
        <v>373</v>
      </c>
      <c r="B251" s="10" t="s">
        <v>428</v>
      </c>
      <c r="C251" s="10">
        <v>1661</v>
      </c>
      <c r="D251" s="10" t="s">
        <v>382</v>
      </c>
      <c r="E251" s="30">
        <v>42102</v>
      </c>
      <c r="F251" s="80" t="s">
        <v>367</v>
      </c>
    </row>
    <row r="252" spans="1:6" x14ac:dyDescent="0.3">
      <c r="A252" s="74" t="s">
        <v>370</v>
      </c>
      <c r="B252" s="10" t="s">
        <v>395</v>
      </c>
      <c r="C252" s="10">
        <v>1670</v>
      </c>
      <c r="D252" s="10" t="s">
        <v>345</v>
      </c>
      <c r="E252" s="30">
        <v>42132</v>
      </c>
      <c r="F252" s="80" t="s">
        <v>367</v>
      </c>
    </row>
    <row r="253" spans="1:6" x14ac:dyDescent="0.3">
      <c r="A253" s="74" t="s">
        <v>370</v>
      </c>
      <c r="B253" s="10" t="s">
        <v>385</v>
      </c>
      <c r="C253" s="10">
        <v>1674</v>
      </c>
      <c r="D253" s="10" t="s">
        <v>339</v>
      </c>
      <c r="E253" s="30">
        <v>41710</v>
      </c>
      <c r="F253" s="80" t="s">
        <v>366</v>
      </c>
    </row>
    <row r="254" spans="1:6" x14ac:dyDescent="0.3">
      <c r="A254" s="74" t="s">
        <v>343</v>
      </c>
      <c r="B254" s="10" t="s">
        <v>410</v>
      </c>
      <c r="C254" s="10">
        <v>1677</v>
      </c>
      <c r="D254" s="10" t="s">
        <v>339</v>
      </c>
      <c r="E254" s="30">
        <v>42076</v>
      </c>
      <c r="F254" s="80" t="s">
        <v>366</v>
      </c>
    </row>
    <row r="255" spans="1:6" x14ac:dyDescent="0.3">
      <c r="A255" s="74" t="s">
        <v>370</v>
      </c>
      <c r="B255" s="10" t="s">
        <v>420</v>
      </c>
      <c r="C255" s="10">
        <v>1682</v>
      </c>
      <c r="D255" s="10" t="s">
        <v>334</v>
      </c>
      <c r="E255" s="30">
        <v>42296</v>
      </c>
      <c r="F255" s="80" t="s">
        <v>368</v>
      </c>
    </row>
    <row r="256" spans="1:6" x14ac:dyDescent="0.3">
      <c r="A256" s="74" t="s">
        <v>343</v>
      </c>
      <c r="B256" s="10" t="s">
        <v>378</v>
      </c>
      <c r="C256" s="10">
        <v>1684</v>
      </c>
      <c r="D256" s="10" t="s">
        <v>341</v>
      </c>
      <c r="E256" s="30">
        <v>42331</v>
      </c>
      <c r="F256" s="80" t="s">
        <v>368</v>
      </c>
    </row>
    <row r="257" spans="1:6" x14ac:dyDescent="0.3">
      <c r="A257" s="74" t="s">
        <v>373</v>
      </c>
      <c r="B257" s="10" t="s">
        <v>390</v>
      </c>
      <c r="C257" s="10">
        <v>1690</v>
      </c>
      <c r="D257" s="10" t="s">
        <v>345</v>
      </c>
      <c r="E257" s="30">
        <v>42240</v>
      </c>
      <c r="F257" s="80" t="s">
        <v>369</v>
      </c>
    </row>
    <row r="258" spans="1:6" x14ac:dyDescent="0.3">
      <c r="A258" s="74" t="s">
        <v>343</v>
      </c>
      <c r="B258" s="10" t="s">
        <v>386</v>
      </c>
      <c r="C258" s="10">
        <v>1696</v>
      </c>
      <c r="D258" s="10" t="s">
        <v>339</v>
      </c>
      <c r="E258" s="30">
        <v>41854</v>
      </c>
      <c r="F258" s="80" t="s">
        <v>369</v>
      </c>
    </row>
    <row r="259" spans="1:6" x14ac:dyDescent="0.3">
      <c r="A259" s="74" t="s">
        <v>350</v>
      </c>
      <c r="B259" s="10" t="s">
        <v>381</v>
      </c>
      <c r="C259" s="10">
        <v>1697</v>
      </c>
      <c r="D259" s="10" t="s">
        <v>342</v>
      </c>
      <c r="E259" s="30">
        <v>41873</v>
      </c>
      <c r="F259" s="80" t="s">
        <v>369</v>
      </c>
    </row>
    <row r="260" spans="1:6" x14ac:dyDescent="0.3">
      <c r="A260" s="74" t="s">
        <v>332</v>
      </c>
      <c r="B260" s="10" t="s">
        <v>346</v>
      </c>
      <c r="C260" s="10">
        <v>1698</v>
      </c>
      <c r="D260" s="10" t="s">
        <v>372</v>
      </c>
      <c r="E260" s="30">
        <v>41929</v>
      </c>
      <c r="F260" s="80" t="s">
        <v>368</v>
      </c>
    </row>
    <row r="261" spans="1:6" x14ac:dyDescent="0.3">
      <c r="A261" s="74" t="s">
        <v>370</v>
      </c>
      <c r="B261" s="10" t="s">
        <v>418</v>
      </c>
      <c r="C261" s="10">
        <v>1701</v>
      </c>
      <c r="D261" s="10" t="s">
        <v>382</v>
      </c>
      <c r="E261" s="30">
        <v>42198</v>
      </c>
      <c r="F261" s="80" t="s">
        <v>369</v>
      </c>
    </row>
    <row r="262" spans="1:6" x14ac:dyDescent="0.3">
      <c r="A262" s="74" t="s">
        <v>370</v>
      </c>
      <c r="B262" s="10" t="s">
        <v>422</v>
      </c>
      <c r="C262" s="10">
        <v>1706</v>
      </c>
      <c r="D262" s="10" t="s">
        <v>341</v>
      </c>
      <c r="E262" s="30">
        <v>42067</v>
      </c>
      <c r="F262" s="80" t="s">
        <v>366</v>
      </c>
    </row>
    <row r="263" spans="1:6" x14ac:dyDescent="0.3">
      <c r="A263" s="74" t="s">
        <v>383</v>
      </c>
      <c r="B263" s="10" t="s">
        <v>411</v>
      </c>
      <c r="C263" s="10">
        <v>1707</v>
      </c>
      <c r="D263" s="10" t="s">
        <v>334</v>
      </c>
      <c r="E263" s="30">
        <v>42137</v>
      </c>
      <c r="F263" s="80" t="s">
        <v>367</v>
      </c>
    </row>
    <row r="264" spans="1:6" x14ac:dyDescent="0.3">
      <c r="A264" s="74" t="s">
        <v>335</v>
      </c>
      <c r="B264" s="10" t="s">
        <v>348</v>
      </c>
      <c r="C264" s="10">
        <v>1710</v>
      </c>
      <c r="D264" s="10" t="s">
        <v>372</v>
      </c>
      <c r="E264" s="30">
        <v>41988</v>
      </c>
      <c r="F264" s="80" t="s">
        <v>368</v>
      </c>
    </row>
    <row r="265" spans="1:6" x14ac:dyDescent="0.3">
      <c r="A265" s="74" t="s">
        <v>373</v>
      </c>
      <c r="B265" s="10" t="s">
        <v>445</v>
      </c>
      <c r="C265" s="10">
        <v>1711</v>
      </c>
      <c r="D265" s="10" t="s">
        <v>339</v>
      </c>
      <c r="E265" s="30">
        <v>41875</v>
      </c>
      <c r="F265" s="80" t="s">
        <v>369</v>
      </c>
    </row>
    <row r="266" spans="1:6" x14ac:dyDescent="0.3">
      <c r="A266" s="74" t="s">
        <v>343</v>
      </c>
      <c r="B266" s="10" t="s">
        <v>419</v>
      </c>
      <c r="C266" s="10">
        <v>1717</v>
      </c>
      <c r="D266" s="10" t="s">
        <v>349</v>
      </c>
      <c r="E266" s="30">
        <v>41818</v>
      </c>
      <c r="F266" s="80" t="s">
        <v>367</v>
      </c>
    </row>
    <row r="267" spans="1:6" x14ac:dyDescent="0.3">
      <c r="A267" s="74" t="s">
        <v>332</v>
      </c>
      <c r="B267" s="10" t="s">
        <v>444</v>
      </c>
      <c r="C267" s="10">
        <v>1726</v>
      </c>
      <c r="D267" s="10" t="s">
        <v>391</v>
      </c>
      <c r="E267" s="30">
        <v>41779</v>
      </c>
      <c r="F267" s="80" t="s">
        <v>367</v>
      </c>
    </row>
    <row r="268" spans="1:6" x14ac:dyDescent="0.3">
      <c r="A268" s="74" t="s">
        <v>370</v>
      </c>
      <c r="B268" s="10" t="s">
        <v>389</v>
      </c>
      <c r="C268" s="10">
        <v>1731</v>
      </c>
      <c r="D268" s="10" t="s">
        <v>342</v>
      </c>
      <c r="E268" s="30">
        <v>41986</v>
      </c>
      <c r="F268" s="80" t="s">
        <v>368</v>
      </c>
    </row>
    <row r="269" spans="1:6" x14ac:dyDescent="0.3">
      <c r="A269" s="74" t="s">
        <v>343</v>
      </c>
      <c r="B269" s="10" t="s">
        <v>432</v>
      </c>
      <c r="C269" s="10">
        <v>1732</v>
      </c>
      <c r="D269" s="10" t="s">
        <v>341</v>
      </c>
      <c r="E269" s="30">
        <v>41855</v>
      </c>
      <c r="F269" s="80" t="s">
        <v>369</v>
      </c>
    </row>
    <row r="270" spans="1:6" x14ac:dyDescent="0.3">
      <c r="A270" s="74" t="s">
        <v>370</v>
      </c>
      <c r="B270" s="10" t="s">
        <v>402</v>
      </c>
      <c r="C270" s="10">
        <v>1740</v>
      </c>
      <c r="D270" s="10" t="s">
        <v>382</v>
      </c>
      <c r="E270" s="30">
        <v>42137</v>
      </c>
      <c r="F270" s="80" t="s">
        <v>367</v>
      </c>
    </row>
    <row r="271" spans="1:6" x14ac:dyDescent="0.3">
      <c r="A271" s="74" t="s">
        <v>350</v>
      </c>
      <c r="B271" s="10" t="s">
        <v>351</v>
      </c>
      <c r="C271" s="10">
        <v>1741</v>
      </c>
      <c r="D271" s="10" t="s">
        <v>341</v>
      </c>
      <c r="E271" s="30">
        <v>42211</v>
      </c>
      <c r="F271" s="80" t="s">
        <v>369</v>
      </c>
    </row>
    <row r="272" spans="1:6" x14ac:dyDescent="0.3">
      <c r="A272" s="74" t="s">
        <v>350</v>
      </c>
      <c r="B272" s="10" t="s">
        <v>408</v>
      </c>
      <c r="C272" s="10">
        <v>1742</v>
      </c>
      <c r="D272" s="10" t="s">
        <v>341</v>
      </c>
      <c r="E272" s="30">
        <v>42226</v>
      </c>
      <c r="F272" s="80" t="s">
        <v>369</v>
      </c>
    </row>
    <row r="273" spans="1:6" x14ac:dyDescent="0.3">
      <c r="A273" s="74" t="s">
        <v>376</v>
      </c>
      <c r="B273" s="10" t="s">
        <v>380</v>
      </c>
      <c r="C273" s="10">
        <v>1746</v>
      </c>
      <c r="D273" s="10" t="s">
        <v>341</v>
      </c>
      <c r="E273" s="30">
        <v>42000</v>
      </c>
      <c r="F273" s="80" t="s">
        <v>368</v>
      </c>
    </row>
    <row r="274" spans="1:6" x14ac:dyDescent="0.3">
      <c r="A274" s="74" t="s">
        <v>332</v>
      </c>
      <c r="B274" s="10" t="s">
        <v>407</v>
      </c>
      <c r="C274" s="10">
        <v>1755</v>
      </c>
      <c r="D274" s="10" t="s">
        <v>345</v>
      </c>
      <c r="E274" s="30">
        <v>42350</v>
      </c>
      <c r="F274" s="80" t="s">
        <v>368</v>
      </c>
    </row>
    <row r="275" spans="1:6" x14ac:dyDescent="0.3">
      <c r="A275" s="74" t="s">
        <v>373</v>
      </c>
      <c r="B275" s="10" t="s">
        <v>390</v>
      </c>
      <c r="C275" s="10">
        <v>1756</v>
      </c>
      <c r="D275" s="10" t="s">
        <v>345</v>
      </c>
      <c r="E275" s="30">
        <v>41927</v>
      </c>
      <c r="F275" s="80" t="s">
        <v>368</v>
      </c>
    </row>
    <row r="276" spans="1:6" x14ac:dyDescent="0.3">
      <c r="A276" s="74" t="s">
        <v>376</v>
      </c>
      <c r="B276" s="10" t="s">
        <v>404</v>
      </c>
      <c r="C276" s="10">
        <v>1763</v>
      </c>
      <c r="D276" s="10" t="s">
        <v>342</v>
      </c>
      <c r="E276" s="30">
        <v>42042</v>
      </c>
      <c r="F276" s="80" t="s">
        <v>366</v>
      </c>
    </row>
    <row r="277" spans="1:6" x14ac:dyDescent="0.3">
      <c r="A277" s="74" t="s">
        <v>335</v>
      </c>
      <c r="B277" s="10" t="s">
        <v>338</v>
      </c>
      <c r="C277" s="10">
        <v>1770</v>
      </c>
      <c r="D277" s="10" t="s">
        <v>372</v>
      </c>
      <c r="E277" s="30">
        <v>41915</v>
      </c>
      <c r="F277" s="80" t="s">
        <v>368</v>
      </c>
    </row>
    <row r="278" spans="1:6" x14ac:dyDescent="0.3">
      <c r="A278" s="74" t="s">
        <v>343</v>
      </c>
      <c r="B278" s="10" t="s">
        <v>419</v>
      </c>
      <c r="C278" s="10">
        <v>1776</v>
      </c>
      <c r="D278" s="10" t="s">
        <v>339</v>
      </c>
      <c r="E278" s="30">
        <v>42071</v>
      </c>
      <c r="F278" s="80" t="s">
        <v>366</v>
      </c>
    </row>
    <row r="279" spans="1:6" x14ac:dyDescent="0.3">
      <c r="A279" s="74" t="s">
        <v>370</v>
      </c>
      <c r="B279" s="10" t="s">
        <v>371</v>
      </c>
      <c r="C279" s="10">
        <v>1780</v>
      </c>
      <c r="D279" s="10" t="s">
        <v>341</v>
      </c>
      <c r="E279" s="30">
        <v>42028</v>
      </c>
      <c r="F279" s="80" t="s">
        <v>366</v>
      </c>
    </row>
    <row r="280" spans="1:6" x14ac:dyDescent="0.3">
      <c r="A280" s="74" t="s">
        <v>335</v>
      </c>
      <c r="B280" s="10" t="s">
        <v>336</v>
      </c>
      <c r="C280" s="10">
        <v>1780</v>
      </c>
      <c r="D280" s="10" t="s">
        <v>391</v>
      </c>
      <c r="E280" s="30">
        <v>41859</v>
      </c>
      <c r="F280" s="80" t="s">
        <v>369</v>
      </c>
    </row>
    <row r="281" spans="1:6" x14ac:dyDescent="0.3">
      <c r="A281" s="74" t="s">
        <v>332</v>
      </c>
      <c r="B281" s="10" t="s">
        <v>346</v>
      </c>
      <c r="C281" s="10">
        <v>1780</v>
      </c>
      <c r="D281" s="10" t="s">
        <v>345</v>
      </c>
      <c r="E281" s="30">
        <v>41991</v>
      </c>
      <c r="F281" s="80" t="s">
        <v>368</v>
      </c>
    </row>
    <row r="282" spans="1:6" x14ac:dyDescent="0.3">
      <c r="A282" s="74" t="s">
        <v>383</v>
      </c>
      <c r="B282" s="10" t="s">
        <v>399</v>
      </c>
      <c r="C282" s="10">
        <v>1783</v>
      </c>
      <c r="D282" s="10" t="s">
        <v>342</v>
      </c>
      <c r="E282" s="30">
        <v>42006</v>
      </c>
      <c r="F282" s="80" t="s">
        <v>366</v>
      </c>
    </row>
    <row r="283" spans="1:6" x14ac:dyDescent="0.3">
      <c r="A283" s="74" t="s">
        <v>373</v>
      </c>
      <c r="B283" s="10" t="s">
        <v>429</v>
      </c>
      <c r="C283" s="10">
        <v>1784</v>
      </c>
      <c r="D283" s="10" t="s">
        <v>334</v>
      </c>
      <c r="E283" s="30">
        <v>42325</v>
      </c>
      <c r="F283" s="80" t="s">
        <v>368</v>
      </c>
    </row>
    <row r="284" spans="1:6" x14ac:dyDescent="0.3">
      <c r="A284" s="74" t="s">
        <v>350</v>
      </c>
      <c r="B284" s="10" t="s">
        <v>443</v>
      </c>
      <c r="C284" s="10">
        <v>1787</v>
      </c>
      <c r="D284" s="10" t="s">
        <v>339</v>
      </c>
      <c r="E284" s="30">
        <v>42044</v>
      </c>
      <c r="F284" s="80" t="s">
        <v>366</v>
      </c>
    </row>
    <row r="285" spans="1:6" x14ac:dyDescent="0.3">
      <c r="A285" s="74" t="s">
        <v>373</v>
      </c>
      <c r="B285" s="10" t="s">
        <v>429</v>
      </c>
      <c r="C285" s="10">
        <v>1791</v>
      </c>
      <c r="D285" s="10" t="s">
        <v>341</v>
      </c>
      <c r="E285" s="30">
        <v>41868</v>
      </c>
      <c r="F285" s="80" t="s">
        <v>369</v>
      </c>
    </row>
    <row r="286" spans="1:6" x14ac:dyDescent="0.3">
      <c r="A286" s="74" t="s">
        <v>343</v>
      </c>
      <c r="B286" s="10" t="s">
        <v>378</v>
      </c>
      <c r="C286" s="10">
        <v>1792</v>
      </c>
      <c r="D286" s="10" t="s">
        <v>372</v>
      </c>
      <c r="E286" s="30">
        <v>41818</v>
      </c>
      <c r="F286" s="80" t="s">
        <v>367</v>
      </c>
    </row>
    <row r="287" spans="1:6" x14ac:dyDescent="0.3">
      <c r="A287" s="74" t="s">
        <v>376</v>
      </c>
      <c r="B287" s="10" t="s">
        <v>404</v>
      </c>
      <c r="C287" s="10">
        <v>1792</v>
      </c>
      <c r="D287" s="10" t="s">
        <v>382</v>
      </c>
      <c r="E287" s="30">
        <v>42176</v>
      </c>
      <c r="F287" s="80" t="s">
        <v>367</v>
      </c>
    </row>
    <row r="288" spans="1:6" x14ac:dyDescent="0.3">
      <c r="A288" s="74" t="s">
        <v>373</v>
      </c>
      <c r="B288" s="10" t="s">
        <v>390</v>
      </c>
      <c r="C288" s="10">
        <v>1793</v>
      </c>
      <c r="D288" s="10" t="s">
        <v>372</v>
      </c>
      <c r="E288" s="30">
        <v>42206</v>
      </c>
      <c r="F288" s="80" t="s">
        <v>369</v>
      </c>
    </row>
    <row r="289" spans="1:6" x14ac:dyDescent="0.3">
      <c r="A289" s="74" t="s">
        <v>332</v>
      </c>
      <c r="B289" s="10" t="s">
        <v>401</v>
      </c>
      <c r="C289" s="10">
        <v>1794</v>
      </c>
      <c r="D289" s="10" t="s">
        <v>345</v>
      </c>
      <c r="E289" s="30">
        <v>42038</v>
      </c>
      <c r="F289" s="80" t="s">
        <v>366</v>
      </c>
    </row>
    <row r="290" spans="1:6" x14ac:dyDescent="0.3">
      <c r="A290" s="74" t="s">
        <v>383</v>
      </c>
      <c r="B290" s="10" t="s">
        <v>424</v>
      </c>
      <c r="C290" s="10">
        <v>1809</v>
      </c>
      <c r="D290" s="10" t="s">
        <v>334</v>
      </c>
      <c r="E290" s="30">
        <v>42011</v>
      </c>
      <c r="F290" s="80" t="s">
        <v>366</v>
      </c>
    </row>
    <row r="291" spans="1:6" x14ac:dyDescent="0.3">
      <c r="A291" s="74" t="s">
        <v>335</v>
      </c>
      <c r="B291" s="10" t="s">
        <v>436</v>
      </c>
      <c r="C291" s="10">
        <v>1809</v>
      </c>
      <c r="D291" s="10" t="s">
        <v>372</v>
      </c>
      <c r="E291" s="30">
        <v>41929</v>
      </c>
      <c r="F291" s="80" t="s">
        <v>368</v>
      </c>
    </row>
    <row r="292" spans="1:6" x14ac:dyDescent="0.3">
      <c r="A292" s="74" t="s">
        <v>370</v>
      </c>
      <c r="B292" s="10" t="s">
        <v>388</v>
      </c>
      <c r="C292" s="10">
        <v>1811</v>
      </c>
      <c r="D292" s="10" t="s">
        <v>342</v>
      </c>
      <c r="E292" s="30">
        <v>42013</v>
      </c>
      <c r="F292" s="80" t="s">
        <v>366</v>
      </c>
    </row>
    <row r="293" spans="1:6" x14ac:dyDescent="0.3">
      <c r="A293" s="74" t="s">
        <v>335</v>
      </c>
      <c r="B293" s="10" t="s">
        <v>405</v>
      </c>
      <c r="C293" s="10">
        <v>1813</v>
      </c>
      <c r="D293" s="10" t="s">
        <v>349</v>
      </c>
      <c r="E293" s="30">
        <v>41689</v>
      </c>
      <c r="F293" s="80" t="s">
        <v>366</v>
      </c>
    </row>
    <row r="294" spans="1:6" x14ac:dyDescent="0.3">
      <c r="A294" s="74" t="s">
        <v>383</v>
      </c>
      <c r="B294" s="10" t="s">
        <v>438</v>
      </c>
      <c r="C294" s="10">
        <v>1815</v>
      </c>
      <c r="D294" s="10" t="s">
        <v>339</v>
      </c>
      <c r="E294" s="30">
        <v>41762</v>
      </c>
      <c r="F294" s="80" t="s">
        <v>367</v>
      </c>
    </row>
    <row r="295" spans="1:6" x14ac:dyDescent="0.3">
      <c r="A295" s="74" t="s">
        <v>335</v>
      </c>
      <c r="B295" s="10" t="s">
        <v>414</v>
      </c>
      <c r="C295" s="10">
        <v>1819</v>
      </c>
      <c r="D295" s="10" t="s">
        <v>334</v>
      </c>
      <c r="E295" s="30">
        <v>42181</v>
      </c>
      <c r="F295" s="80" t="s">
        <v>367</v>
      </c>
    </row>
    <row r="296" spans="1:6" x14ac:dyDescent="0.3">
      <c r="A296" s="74" t="s">
        <v>383</v>
      </c>
      <c r="B296" s="10" t="s">
        <v>384</v>
      </c>
      <c r="C296" s="10">
        <v>1822</v>
      </c>
      <c r="D296" s="10" t="s">
        <v>349</v>
      </c>
      <c r="E296" s="30">
        <v>42007</v>
      </c>
      <c r="F296" s="80" t="s">
        <v>366</v>
      </c>
    </row>
    <row r="297" spans="1:6" x14ac:dyDescent="0.3">
      <c r="A297" s="74" t="s">
        <v>376</v>
      </c>
      <c r="B297" s="10" t="s">
        <v>377</v>
      </c>
      <c r="C297" s="10">
        <v>1822</v>
      </c>
      <c r="D297" s="10" t="s">
        <v>391</v>
      </c>
      <c r="E297" s="30">
        <v>42205</v>
      </c>
      <c r="F297" s="80" t="s">
        <v>369</v>
      </c>
    </row>
    <row r="298" spans="1:6" x14ac:dyDescent="0.3">
      <c r="A298" s="74" t="s">
        <v>376</v>
      </c>
      <c r="B298" s="10" t="s">
        <v>409</v>
      </c>
      <c r="C298" s="10">
        <v>1834</v>
      </c>
      <c r="D298" s="10" t="s">
        <v>339</v>
      </c>
      <c r="E298" s="30">
        <v>41801</v>
      </c>
      <c r="F298" s="80" t="s">
        <v>367</v>
      </c>
    </row>
    <row r="299" spans="1:6" x14ac:dyDescent="0.3">
      <c r="A299" s="74" t="s">
        <v>370</v>
      </c>
      <c r="B299" s="10" t="s">
        <v>392</v>
      </c>
      <c r="C299" s="10">
        <v>1845</v>
      </c>
      <c r="D299" s="10" t="s">
        <v>334</v>
      </c>
      <c r="E299" s="30">
        <v>42244</v>
      </c>
      <c r="F299" s="80" t="s">
        <v>369</v>
      </c>
    </row>
    <row r="300" spans="1:6" x14ac:dyDescent="0.3">
      <c r="A300" s="74" t="s">
        <v>383</v>
      </c>
      <c r="B300" s="10" t="s">
        <v>411</v>
      </c>
      <c r="C300" s="10">
        <v>1849</v>
      </c>
      <c r="D300" s="10" t="s">
        <v>391</v>
      </c>
      <c r="E300" s="30">
        <v>42044</v>
      </c>
      <c r="F300" s="80" t="s">
        <v>366</v>
      </c>
    </row>
    <row r="301" spans="1:6" x14ac:dyDescent="0.3">
      <c r="A301" s="74" t="s">
        <v>370</v>
      </c>
      <c r="B301" s="10" t="s">
        <v>422</v>
      </c>
      <c r="C301" s="10">
        <v>1854</v>
      </c>
      <c r="D301" s="10" t="s">
        <v>341</v>
      </c>
      <c r="E301" s="30">
        <v>41856</v>
      </c>
      <c r="F301" s="80" t="s">
        <v>369</v>
      </c>
    </row>
    <row r="302" spans="1:6" x14ac:dyDescent="0.3">
      <c r="A302" s="74" t="s">
        <v>376</v>
      </c>
      <c r="B302" s="10" t="s">
        <v>404</v>
      </c>
      <c r="C302" s="10">
        <v>1854</v>
      </c>
      <c r="D302" s="10" t="s">
        <v>382</v>
      </c>
      <c r="E302" s="30">
        <v>41986</v>
      </c>
      <c r="F302" s="80" t="s">
        <v>368</v>
      </c>
    </row>
    <row r="303" spans="1:6" x14ac:dyDescent="0.3">
      <c r="A303" s="74" t="s">
        <v>350</v>
      </c>
      <c r="B303" s="10" t="s">
        <v>446</v>
      </c>
      <c r="C303" s="10">
        <v>1862</v>
      </c>
      <c r="D303" s="10" t="s">
        <v>341</v>
      </c>
      <c r="E303" s="30">
        <v>42201</v>
      </c>
      <c r="F303" s="80" t="s">
        <v>369</v>
      </c>
    </row>
    <row r="304" spans="1:6" x14ac:dyDescent="0.3">
      <c r="A304" s="74" t="s">
        <v>350</v>
      </c>
      <c r="B304" s="10" t="s">
        <v>351</v>
      </c>
      <c r="C304" s="10">
        <v>1866</v>
      </c>
      <c r="D304" s="10" t="s">
        <v>334</v>
      </c>
      <c r="E304" s="30">
        <v>42087</v>
      </c>
      <c r="F304" s="80" t="s">
        <v>366</v>
      </c>
    </row>
    <row r="305" spans="1:6" x14ac:dyDescent="0.3">
      <c r="A305" s="74" t="s">
        <v>370</v>
      </c>
      <c r="B305" s="10" t="s">
        <v>389</v>
      </c>
      <c r="C305" s="10">
        <v>1866</v>
      </c>
      <c r="D305" s="10" t="s">
        <v>341</v>
      </c>
      <c r="E305" s="30">
        <v>42225</v>
      </c>
      <c r="F305" s="80" t="s">
        <v>369</v>
      </c>
    </row>
    <row r="306" spans="1:6" x14ac:dyDescent="0.3">
      <c r="A306" s="74" t="s">
        <v>373</v>
      </c>
      <c r="B306" s="10" t="s">
        <v>375</v>
      </c>
      <c r="C306" s="10">
        <v>1869</v>
      </c>
      <c r="D306" s="10" t="s">
        <v>341</v>
      </c>
      <c r="E306" s="30">
        <v>42249</v>
      </c>
      <c r="F306" s="80" t="s">
        <v>369</v>
      </c>
    </row>
    <row r="307" spans="1:6" x14ac:dyDescent="0.3">
      <c r="A307" s="74" t="s">
        <v>335</v>
      </c>
      <c r="B307" s="10" t="s">
        <v>415</v>
      </c>
      <c r="C307" s="10">
        <v>1870</v>
      </c>
      <c r="D307" s="10" t="s">
        <v>391</v>
      </c>
      <c r="E307" s="30">
        <v>42138</v>
      </c>
      <c r="F307" s="80" t="s">
        <v>367</v>
      </c>
    </row>
    <row r="308" spans="1:6" x14ac:dyDescent="0.3">
      <c r="A308" s="74" t="s">
        <v>343</v>
      </c>
      <c r="B308" s="10" t="s">
        <v>441</v>
      </c>
      <c r="C308" s="10">
        <v>1871</v>
      </c>
      <c r="D308" s="10" t="s">
        <v>372</v>
      </c>
      <c r="E308" s="30">
        <v>41990</v>
      </c>
      <c r="F308" s="80" t="s">
        <v>368</v>
      </c>
    </row>
    <row r="309" spans="1:6" x14ac:dyDescent="0.3">
      <c r="A309" s="74" t="s">
        <v>370</v>
      </c>
      <c r="B309" s="10" t="s">
        <v>389</v>
      </c>
      <c r="C309" s="10">
        <v>1873</v>
      </c>
      <c r="D309" s="10" t="s">
        <v>342</v>
      </c>
      <c r="E309" s="30">
        <v>42022</v>
      </c>
      <c r="F309" s="80" t="s">
        <v>366</v>
      </c>
    </row>
    <row r="310" spans="1:6" x14ac:dyDescent="0.3">
      <c r="A310" s="74" t="s">
        <v>383</v>
      </c>
      <c r="B310" s="10" t="s">
        <v>424</v>
      </c>
      <c r="C310" s="10">
        <v>1880</v>
      </c>
      <c r="D310" s="10" t="s">
        <v>349</v>
      </c>
      <c r="E310" s="30">
        <v>42281</v>
      </c>
      <c r="F310" s="80" t="s">
        <v>368</v>
      </c>
    </row>
    <row r="311" spans="1:6" x14ac:dyDescent="0.3">
      <c r="A311" s="74" t="s">
        <v>343</v>
      </c>
      <c r="B311" s="10" t="s">
        <v>344</v>
      </c>
      <c r="C311" s="10">
        <v>1884</v>
      </c>
      <c r="D311" s="10" t="s">
        <v>337</v>
      </c>
      <c r="E311" s="30">
        <v>42165</v>
      </c>
      <c r="F311" s="80" t="s">
        <v>367</v>
      </c>
    </row>
    <row r="312" spans="1:6" x14ac:dyDescent="0.3">
      <c r="A312" s="74" t="s">
        <v>332</v>
      </c>
      <c r="B312" s="10" t="s">
        <v>346</v>
      </c>
      <c r="C312" s="10">
        <v>1886</v>
      </c>
      <c r="D312" s="10" t="s">
        <v>337</v>
      </c>
      <c r="E312" s="30">
        <v>42101</v>
      </c>
      <c r="F312" s="80" t="s">
        <v>367</v>
      </c>
    </row>
    <row r="313" spans="1:6" x14ac:dyDescent="0.3">
      <c r="A313" s="74" t="s">
        <v>332</v>
      </c>
      <c r="B313" s="10" t="s">
        <v>333</v>
      </c>
      <c r="C313" s="10">
        <v>1892</v>
      </c>
      <c r="D313" s="10" t="s">
        <v>372</v>
      </c>
      <c r="E313" s="30">
        <v>42159</v>
      </c>
      <c r="F313" s="80" t="s">
        <v>367</v>
      </c>
    </row>
    <row r="314" spans="1:6" x14ac:dyDescent="0.3">
      <c r="A314" s="74" t="s">
        <v>335</v>
      </c>
      <c r="B314" s="10" t="s">
        <v>348</v>
      </c>
      <c r="C314" s="10">
        <v>1893</v>
      </c>
      <c r="D314" s="10" t="s">
        <v>337</v>
      </c>
      <c r="E314" s="30">
        <v>41877</v>
      </c>
      <c r="F314" s="80" t="s">
        <v>369</v>
      </c>
    </row>
    <row r="315" spans="1:6" x14ac:dyDescent="0.3">
      <c r="A315" s="74" t="s">
        <v>343</v>
      </c>
      <c r="B315" s="10" t="s">
        <v>430</v>
      </c>
      <c r="C315" s="10">
        <v>1905</v>
      </c>
      <c r="D315" s="10" t="s">
        <v>334</v>
      </c>
      <c r="E315" s="30">
        <v>41877</v>
      </c>
      <c r="F315" s="80" t="s">
        <v>369</v>
      </c>
    </row>
    <row r="316" spans="1:6" x14ac:dyDescent="0.3">
      <c r="A316" s="74" t="s">
        <v>350</v>
      </c>
      <c r="B316" s="10" t="s">
        <v>412</v>
      </c>
      <c r="C316" s="10">
        <v>1912</v>
      </c>
      <c r="D316" s="10" t="s">
        <v>372</v>
      </c>
      <c r="E316" s="30">
        <v>42109</v>
      </c>
      <c r="F316" s="80" t="s">
        <v>367</v>
      </c>
    </row>
    <row r="317" spans="1:6" x14ac:dyDescent="0.3">
      <c r="A317" s="74" t="s">
        <v>373</v>
      </c>
      <c r="B317" s="10" t="s">
        <v>431</v>
      </c>
      <c r="C317" s="10">
        <v>1913</v>
      </c>
      <c r="D317" s="10" t="s">
        <v>337</v>
      </c>
      <c r="E317" s="30">
        <v>42006</v>
      </c>
      <c r="F317" s="80" t="s">
        <v>366</v>
      </c>
    </row>
    <row r="318" spans="1:6" x14ac:dyDescent="0.3">
      <c r="A318" s="74" t="s">
        <v>370</v>
      </c>
      <c r="B318" s="10" t="s">
        <v>447</v>
      </c>
      <c r="C318" s="10">
        <v>1919</v>
      </c>
      <c r="D318" s="10" t="s">
        <v>382</v>
      </c>
      <c r="E318" s="30">
        <v>42116</v>
      </c>
      <c r="F318" s="80" t="s">
        <v>367</v>
      </c>
    </row>
    <row r="319" spans="1:6" x14ac:dyDescent="0.3">
      <c r="A319" s="74" t="s">
        <v>343</v>
      </c>
      <c r="B319" s="10" t="s">
        <v>419</v>
      </c>
      <c r="C319" s="10">
        <v>1921</v>
      </c>
      <c r="D319" s="10" t="s">
        <v>334</v>
      </c>
      <c r="E319" s="30">
        <v>42074</v>
      </c>
      <c r="F319" s="80" t="s">
        <v>366</v>
      </c>
    </row>
    <row r="320" spans="1:6" x14ac:dyDescent="0.3">
      <c r="A320" s="74" t="s">
        <v>370</v>
      </c>
      <c r="B320" s="10" t="s">
        <v>388</v>
      </c>
      <c r="C320" s="10">
        <v>1921</v>
      </c>
      <c r="D320" s="10" t="s">
        <v>391</v>
      </c>
      <c r="E320" s="30">
        <v>42113</v>
      </c>
      <c r="F320" s="80" t="s">
        <v>367</v>
      </c>
    </row>
    <row r="321" spans="1:6" x14ac:dyDescent="0.3">
      <c r="A321" s="74" t="s">
        <v>335</v>
      </c>
      <c r="B321" s="10" t="s">
        <v>338</v>
      </c>
      <c r="C321" s="10">
        <v>1930</v>
      </c>
      <c r="D321" s="10" t="s">
        <v>342</v>
      </c>
      <c r="E321" s="30">
        <v>42237</v>
      </c>
      <c r="F321" s="80" t="s">
        <v>369</v>
      </c>
    </row>
    <row r="322" spans="1:6" x14ac:dyDescent="0.3">
      <c r="A322" s="74" t="s">
        <v>343</v>
      </c>
      <c r="B322" s="10" t="s">
        <v>344</v>
      </c>
      <c r="C322" s="10">
        <v>1931</v>
      </c>
      <c r="D322" s="10" t="s">
        <v>382</v>
      </c>
      <c r="E322" s="30">
        <v>41782</v>
      </c>
      <c r="F322" s="80" t="s">
        <v>367</v>
      </c>
    </row>
    <row r="323" spans="1:6" x14ac:dyDescent="0.3">
      <c r="A323" s="74" t="s">
        <v>332</v>
      </c>
      <c r="B323" s="10" t="s">
        <v>340</v>
      </c>
      <c r="C323" s="10">
        <v>1938</v>
      </c>
      <c r="D323" s="10" t="s">
        <v>382</v>
      </c>
      <c r="E323" s="30">
        <v>41683</v>
      </c>
      <c r="F323" s="80" t="s">
        <v>366</v>
      </c>
    </row>
    <row r="324" spans="1:6" x14ac:dyDescent="0.3">
      <c r="A324" s="74" t="s">
        <v>373</v>
      </c>
      <c r="B324" s="10" t="s">
        <v>437</v>
      </c>
      <c r="C324" s="10">
        <v>1948</v>
      </c>
      <c r="D324" s="10" t="s">
        <v>391</v>
      </c>
      <c r="E324" s="30">
        <v>42134</v>
      </c>
      <c r="F324" s="80" t="s">
        <v>367</v>
      </c>
    </row>
    <row r="325" spans="1:6" x14ac:dyDescent="0.3">
      <c r="A325" s="74" t="s">
        <v>373</v>
      </c>
      <c r="B325" s="10" t="s">
        <v>437</v>
      </c>
      <c r="C325" s="10">
        <v>1951</v>
      </c>
      <c r="D325" s="10" t="s">
        <v>382</v>
      </c>
      <c r="E325" s="30">
        <v>41665</v>
      </c>
      <c r="F325" s="80" t="s">
        <v>366</v>
      </c>
    </row>
    <row r="326" spans="1:6" x14ac:dyDescent="0.3">
      <c r="A326" s="74" t="s">
        <v>343</v>
      </c>
      <c r="B326" s="10" t="s">
        <v>413</v>
      </c>
      <c r="C326" s="10">
        <v>1955</v>
      </c>
      <c r="D326" s="10" t="s">
        <v>339</v>
      </c>
      <c r="E326" s="30">
        <v>41657</v>
      </c>
      <c r="F326" s="80" t="s">
        <v>366</v>
      </c>
    </row>
    <row r="327" spans="1:6" x14ac:dyDescent="0.3">
      <c r="A327" s="74" t="s">
        <v>332</v>
      </c>
      <c r="B327" s="10" t="s">
        <v>398</v>
      </c>
      <c r="C327" s="10">
        <v>1962</v>
      </c>
      <c r="D327" s="10" t="s">
        <v>334</v>
      </c>
      <c r="E327" s="30">
        <v>41903</v>
      </c>
      <c r="F327" s="80" t="s">
        <v>369</v>
      </c>
    </row>
    <row r="328" spans="1:6" x14ac:dyDescent="0.3">
      <c r="A328" s="74" t="s">
        <v>373</v>
      </c>
      <c r="B328" s="10" t="s">
        <v>375</v>
      </c>
      <c r="C328" s="10">
        <v>1964</v>
      </c>
      <c r="D328" s="10" t="s">
        <v>341</v>
      </c>
      <c r="E328" s="30">
        <v>41926</v>
      </c>
      <c r="F328" s="80" t="s">
        <v>368</v>
      </c>
    </row>
    <row r="329" spans="1:6" x14ac:dyDescent="0.3">
      <c r="A329" s="74" t="s">
        <v>343</v>
      </c>
      <c r="B329" s="10" t="s">
        <v>417</v>
      </c>
      <c r="C329" s="10">
        <v>1966</v>
      </c>
      <c r="D329" s="10" t="s">
        <v>349</v>
      </c>
      <c r="E329" s="30">
        <v>41732</v>
      </c>
      <c r="F329" s="80" t="s">
        <v>367</v>
      </c>
    </row>
    <row r="330" spans="1:6" x14ac:dyDescent="0.3">
      <c r="A330" s="74" t="s">
        <v>373</v>
      </c>
      <c r="B330" s="10" t="s">
        <v>445</v>
      </c>
      <c r="C330" s="10">
        <v>1968</v>
      </c>
      <c r="D330" s="10" t="s">
        <v>349</v>
      </c>
      <c r="E330" s="30">
        <v>41983</v>
      </c>
      <c r="F330" s="80" t="s">
        <v>368</v>
      </c>
    </row>
    <row r="331" spans="1:6" x14ac:dyDescent="0.3">
      <c r="A331" s="74" t="s">
        <v>343</v>
      </c>
      <c r="B331" s="10" t="s">
        <v>413</v>
      </c>
      <c r="C331" s="10">
        <v>1970</v>
      </c>
      <c r="D331" s="10" t="s">
        <v>372</v>
      </c>
      <c r="E331" s="30">
        <v>41863</v>
      </c>
      <c r="F331" s="80" t="s">
        <v>369</v>
      </c>
    </row>
    <row r="332" spans="1:6" x14ac:dyDescent="0.3">
      <c r="A332" s="74" t="s">
        <v>373</v>
      </c>
      <c r="B332" s="10" t="s">
        <v>428</v>
      </c>
      <c r="C332" s="10">
        <v>1974</v>
      </c>
      <c r="D332" s="10" t="s">
        <v>349</v>
      </c>
      <c r="E332" s="30">
        <v>42120</v>
      </c>
      <c r="F332" s="80" t="s">
        <v>367</v>
      </c>
    </row>
    <row r="333" spans="1:6" x14ac:dyDescent="0.3">
      <c r="A333" s="74" t="s">
        <v>370</v>
      </c>
      <c r="B333" s="10" t="s">
        <v>447</v>
      </c>
      <c r="C333" s="10">
        <v>1976</v>
      </c>
      <c r="D333" s="10" t="s">
        <v>349</v>
      </c>
      <c r="E333" s="30">
        <v>41917</v>
      </c>
      <c r="F333" s="80" t="s">
        <v>368</v>
      </c>
    </row>
    <row r="334" spans="1:6" x14ac:dyDescent="0.3">
      <c r="A334" s="74" t="s">
        <v>376</v>
      </c>
      <c r="B334" s="10" t="s">
        <v>377</v>
      </c>
      <c r="C334" s="10">
        <v>1980</v>
      </c>
      <c r="D334" s="10" t="s">
        <v>382</v>
      </c>
      <c r="E334" s="30">
        <v>42316</v>
      </c>
      <c r="F334" s="80" t="s">
        <v>368</v>
      </c>
    </row>
    <row r="335" spans="1:6" x14ac:dyDescent="0.3">
      <c r="A335" s="74" t="s">
        <v>370</v>
      </c>
      <c r="B335" s="10" t="s">
        <v>388</v>
      </c>
      <c r="C335" s="10">
        <v>1981</v>
      </c>
      <c r="D335" s="10" t="s">
        <v>391</v>
      </c>
      <c r="E335" s="30">
        <v>42350</v>
      </c>
      <c r="F335" s="80" t="s">
        <v>368</v>
      </c>
    </row>
    <row r="336" spans="1:6" x14ac:dyDescent="0.3">
      <c r="A336" s="74" t="s">
        <v>373</v>
      </c>
      <c r="B336" s="10" t="s">
        <v>431</v>
      </c>
      <c r="C336" s="10">
        <v>1982</v>
      </c>
      <c r="D336" s="10" t="s">
        <v>372</v>
      </c>
      <c r="E336" s="30">
        <v>42069</v>
      </c>
      <c r="F336" s="80" t="s">
        <v>366</v>
      </c>
    </row>
    <row r="337" spans="1:6" x14ac:dyDescent="0.3">
      <c r="A337" s="74" t="s">
        <v>343</v>
      </c>
      <c r="B337" s="10" t="s">
        <v>448</v>
      </c>
      <c r="C337" s="10">
        <v>1991</v>
      </c>
      <c r="D337" s="10" t="s">
        <v>339</v>
      </c>
      <c r="E337" s="30">
        <v>41895</v>
      </c>
      <c r="F337" s="80" t="s">
        <v>369</v>
      </c>
    </row>
    <row r="338" spans="1:6" x14ac:dyDescent="0.3">
      <c r="A338" s="74" t="s">
        <v>370</v>
      </c>
      <c r="B338" s="10" t="s">
        <v>442</v>
      </c>
      <c r="C338" s="10">
        <v>1994</v>
      </c>
      <c r="D338" s="10" t="s">
        <v>337</v>
      </c>
      <c r="E338" s="30">
        <v>41653</v>
      </c>
      <c r="F338" s="80" t="s">
        <v>366</v>
      </c>
    </row>
    <row r="339" spans="1:6" x14ac:dyDescent="0.3">
      <c r="A339" s="74" t="s">
        <v>370</v>
      </c>
      <c r="B339" s="10" t="s">
        <v>447</v>
      </c>
      <c r="C339" s="10">
        <v>1996</v>
      </c>
      <c r="D339" s="10" t="s">
        <v>334</v>
      </c>
      <c r="E339" s="30">
        <v>42187</v>
      </c>
      <c r="F339" s="80" t="s">
        <v>369</v>
      </c>
    </row>
    <row r="340" spans="1:6" x14ac:dyDescent="0.3">
      <c r="A340" s="74" t="s">
        <v>373</v>
      </c>
      <c r="B340" s="10" t="s">
        <v>374</v>
      </c>
      <c r="C340" s="10">
        <v>1997</v>
      </c>
      <c r="D340" s="10" t="s">
        <v>372</v>
      </c>
      <c r="E340" s="30">
        <v>42127</v>
      </c>
      <c r="F340" s="80" t="s">
        <v>367</v>
      </c>
    </row>
    <row r="341" spans="1:6" x14ac:dyDescent="0.3">
      <c r="A341" s="74" t="s">
        <v>343</v>
      </c>
      <c r="B341" s="10" t="s">
        <v>432</v>
      </c>
      <c r="C341" s="10">
        <v>2000</v>
      </c>
      <c r="D341" s="10" t="s">
        <v>391</v>
      </c>
      <c r="E341" s="30">
        <v>42079</v>
      </c>
      <c r="F341" s="80" t="s">
        <v>366</v>
      </c>
    </row>
    <row r="342" spans="1:6" x14ac:dyDescent="0.3">
      <c r="A342" s="74" t="s">
        <v>370</v>
      </c>
      <c r="B342" s="10" t="s">
        <v>418</v>
      </c>
      <c r="C342" s="10">
        <v>2003</v>
      </c>
      <c r="D342" s="10" t="s">
        <v>339</v>
      </c>
      <c r="E342" s="30">
        <v>41931</v>
      </c>
      <c r="F342" s="80" t="s">
        <v>368</v>
      </c>
    </row>
    <row r="343" spans="1:6" x14ac:dyDescent="0.3">
      <c r="A343" s="74" t="s">
        <v>370</v>
      </c>
      <c r="B343" s="10" t="s">
        <v>395</v>
      </c>
      <c r="C343" s="10">
        <v>2003</v>
      </c>
      <c r="D343" s="10" t="s">
        <v>342</v>
      </c>
      <c r="E343" s="30">
        <v>42317</v>
      </c>
      <c r="F343" s="80" t="s">
        <v>368</v>
      </c>
    </row>
    <row r="344" spans="1:6" x14ac:dyDescent="0.3">
      <c r="A344" s="74" t="s">
        <v>332</v>
      </c>
      <c r="B344" s="10" t="s">
        <v>434</v>
      </c>
      <c r="C344" s="10">
        <v>2007</v>
      </c>
      <c r="D344" s="10" t="s">
        <v>341</v>
      </c>
      <c r="E344" s="30">
        <v>42323</v>
      </c>
      <c r="F344" s="80" t="s">
        <v>368</v>
      </c>
    </row>
    <row r="345" spans="1:6" x14ac:dyDescent="0.3">
      <c r="A345" s="74" t="s">
        <v>373</v>
      </c>
      <c r="B345" s="10" t="s">
        <v>433</v>
      </c>
      <c r="C345" s="10">
        <v>2011</v>
      </c>
      <c r="D345" s="10" t="s">
        <v>339</v>
      </c>
      <c r="E345" s="30">
        <v>42085</v>
      </c>
      <c r="F345" s="80" t="s">
        <v>366</v>
      </c>
    </row>
    <row r="346" spans="1:6" x14ac:dyDescent="0.3">
      <c r="A346" s="74" t="s">
        <v>343</v>
      </c>
      <c r="B346" s="10" t="s">
        <v>410</v>
      </c>
      <c r="C346" s="10">
        <v>2013</v>
      </c>
      <c r="D346" s="10" t="s">
        <v>372</v>
      </c>
      <c r="E346" s="30">
        <v>42351</v>
      </c>
      <c r="F346" s="80" t="s">
        <v>368</v>
      </c>
    </row>
    <row r="347" spans="1:6" x14ac:dyDescent="0.3">
      <c r="A347" s="74" t="s">
        <v>370</v>
      </c>
      <c r="B347" s="10" t="s">
        <v>418</v>
      </c>
      <c r="C347" s="10">
        <v>2015</v>
      </c>
      <c r="D347" s="10" t="s">
        <v>334</v>
      </c>
      <c r="E347" s="30">
        <v>42173</v>
      </c>
      <c r="F347" s="80" t="s">
        <v>367</v>
      </c>
    </row>
    <row r="348" spans="1:6" x14ac:dyDescent="0.3">
      <c r="A348" s="74" t="s">
        <v>370</v>
      </c>
      <c r="B348" s="10" t="s">
        <v>371</v>
      </c>
      <c r="C348" s="10">
        <v>2019</v>
      </c>
      <c r="D348" s="10" t="s">
        <v>339</v>
      </c>
      <c r="E348" s="30">
        <v>41641</v>
      </c>
      <c r="F348" s="80" t="s">
        <v>366</v>
      </c>
    </row>
    <row r="349" spans="1:6" x14ac:dyDescent="0.3">
      <c r="A349" s="74" t="s">
        <v>383</v>
      </c>
      <c r="B349" s="10" t="s">
        <v>411</v>
      </c>
      <c r="C349" s="10">
        <v>2019</v>
      </c>
      <c r="D349" s="10" t="s">
        <v>345</v>
      </c>
      <c r="E349" s="30">
        <v>42294</v>
      </c>
      <c r="F349" s="80" t="s">
        <v>368</v>
      </c>
    </row>
    <row r="350" spans="1:6" x14ac:dyDescent="0.3">
      <c r="A350" s="74" t="s">
        <v>343</v>
      </c>
      <c r="B350" s="10" t="s">
        <v>413</v>
      </c>
      <c r="C350" s="10">
        <v>2022</v>
      </c>
      <c r="D350" s="10" t="s">
        <v>334</v>
      </c>
      <c r="E350" s="30">
        <v>41917</v>
      </c>
      <c r="F350" s="80" t="s">
        <v>368</v>
      </c>
    </row>
    <row r="351" spans="1:6" x14ac:dyDescent="0.3">
      <c r="A351" s="74" t="s">
        <v>343</v>
      </c>
      <c r="B351" s="10" t="s">
        <v>413</v>
      </c>
      <c r="C351" s="10">
        <v>2024</v>
      </c>
      <c r="D351" s="10" t="s">
        <v>339</v>
      </c>
      <c r="E351" s="30">
        <v>42127</v>
      </c>
      <c r="F351" s="80" t="s">
        <v>367</v>
      </c>
    </row>
    <row r="352" spans="1:6" x14ac:dyDescent="0.3">
      <c r="A352" s="74" t="s">
        <v>343</v>
      </c>
      <c r="B352" s="10" t="s">
        <v>413</v>
      </c>
      <c r="C352" s="10">
        <v>2025</v>
      </c>
      <c r="D352" s="10" t="s">
        <v>334</v>
      </c>
      <c r="E352" s="30">
        <v>41786</v>
      </c>
      <c r="F352" s="80" t="s">
        <v>367</v>
      </c>
    </row>
    <row r="353" spans="1:6" x14ac:dyDescent="0.3">
      <c r="A353" s="74" t="s">
        <v>383</v>
      </c>
      <c r="B353" s="10" t="s">
        <v>438</v>
      </c>
      <c r="C353" s="10">
        <v>2028</v>
      </c>
      <c r="D353" s="10" t="s">
        <v>342</v>
      </c>
      <c r="E353" s="30">
        <v>41726</v>
      </c>
      <c r="F353" s="80" t="s">
        <v>366</v>
      </c>
    </row>
    <row r="354" spans="1:6" x14ac:dyDescent="0.3">
      <c r="A354" s="74" t="s">
        <v>343</v>
      </c>
      <c r="B354" s="10" t="s">
        <v>410</v>
      </c>
      <c r="C354" s="10">
        <v>2028</v>
      </c>
      <c r="D354" s="10" t="s">
        <v>382</v>
      </c>
      <c r="E354" s="30">
        <v>41962</v>
      </c>
      <c r="F354" s="80" t="s">
        <v>368</v>
      </c>
    </row>
    <row r="355" spans="1:6" x14ac:dyDescent="0.3">
      <c r="A355" s="74" t="s">
        <v>350</v>
      </c>
      <c r="B355" s="10" t="s">
        <v>416</v>
      </c>
      <c r="C355" s="10">
        <v>2030</v>
      </c>
      <c r="D355" s="10" t="s">
        <v>349</v>
      </c>
      <c r="E355" s="30">
        <v>42241</v>
      </c>
      <c r="F355" s="80" t="s">
        <v>369</v>
      </c>
    </row>
    <row r="356" spans="1:6" x14ac:dyDescent="0.3">
      <c r="A356" s="74" t="s">
        <v>332</v>
      </c>
      <c r="B356" s="10" t="s">
        <v>401</v>
      </c>
      <c r="C356" s="10">
        <v>2031</v>
      </c>
      <c r="D356" s="10" t="s">
        <v>349</v>
      </c>
      <c r="E356" s="30">
        <v>41831</v>
      </c>
      <c r="F356" s="80" t="s">
        <v>369</v>
      </c>
    </row>
    <row r="357" spans="1:6" x14ac:dyDescent="0.3">
      <c r="A357" s="74" t="s">
        <v>332</v>
      </c>
      <c r="B357" s="10" t="s">
        <v>434</v>
      </c>
      <c r="C357" s="10">
        <v>2034</v>
      </c>
      <c r="D357" s="10" t="s">
        <v>341</v>
      </c>
      <c r="E357" s="30">
        <v>42039</v>
      </c>
      <c r="F357" s="80" t="s">
        <v>366</v>
      </c>
    </row>
    <row r="358" spans="1:6" x14ac:dyDescent="0.3">
      <c r="A358" s="74" t="s">
        <v>373</v>
      </c>
      <c r="B358" s="10" t="s">
        <v>421</v>
      </c>
      <c r="C358" s="10">
        <v>2037</v>
      </c>
      <c r="D358" s="10" t="s">
        <v>349</v>
      </c>
      <c r="E358" s="30">
        <v>42209</v>
      </c>
      <c r="F358" s="80" t="s">
        <v>369</v>
      </c>
    </row>
    <row r="359" spans="1:6" x14ac:dyDescent="0.3">
      <c r="A359" s="74" t="s">
        <v>373</v>
      </c>
      <c r="B359" s="10" t="s">
        <v>428</v>
      </c>
      <c r="C359" s="10">
        <v>2049</v>
      </c>
      <c r="D359" s="10" t="s">
        <v>349</v>
      </c>
      <c r="E359" s="30">
        <v>42128</v>
      </c>
      <c r="F359" s="80" t="s">
        <v>367</v>
      </c>
    </row>
    <row r="360" spans="1:6" x14ac:dyDescent="0.3">
      <c r="A360" s="74" t="s">
        <v>335</v>
      </c>
      <c r="B360" s="10" t="s">
        <v>415</v>
      </c>
      <c r="C360" s="10">
        <v>2055</v>
      </c>
      <c r="D360" s="10" t="s">
        <v>372</v>
      </c>
      <c r="E360" s="30">
        <v>41810</v>
      </c>
      <c r="F360" s="80" t="s">
        <v>367</v>
      </c>
    </row>
    <row r="361" spans="1:6" x14ac:dyDescent="0.3">
      <c r="A361" s="74" t="s">
        <v>350</v>
      </c>
      <c r="B361" s="10" t="s">
        <v>416</v>
      </c>
      <c r="C361" s="10">
        <v>2055</v>
      </c>
      <c r="D361" s="10" t="s">
        <v>337</v>
      </c>
      <c r="E361" s="30">
        <v>41988</v>
      </c>
      <c r="F361" s="80" t="s">
        <v>368</v>
      </c>
    </row>
    <row r="362" spans="1:6" x14ac:dyDescent="0.3">
      <c r="A362" s="74" t="s">
        <v>383</v>
      </c>
      <c r="B362" s="10" t="s">
        <v>384</v>
      </c>
      <c r="C362" s="10">
        <v>2062</v>
      </c>
      <c r="D362" s="10" t="s">
        <v>382</v>
      </c>
      <c r="E362" s="30">
        <v>42224</v>
      </c>
      <c r="F362" s="80" t="s">
        <v>369</v>
      </c>
    </row>
    <row r="363" spans="1:6" x14ac:dyDescent="0.3">
      <c r="A363" s="74" t="s">
        <v>376</v>
      </c>
      <c r="B363" s="10" t="s">
        <v>380</v>
      </c>
      <c r="C363" s="10">
        <v>2070</v>
      </c>
      <c r="D363" s="10" t="s">
        <v>345</v>
      </c>
      <c r="E363" s="30">
        <v>41815</v>
      </c>
      <c r="F363" s="80" t="s">
        <v>367</v>
      </c>
    </row>
    <row r="364" spans="1:6" x14ac:dyDescent="0.3">
      <c r="A364" s="74" t="s">
        <v>350</v>
      </c>
      <c r="B364" s="10" t="s">
        <v>394</v>
      </c>
      <c r="C364" s="10">
        <v>2071</v>
      </c>
      <c r="D364" s="10" t="s">
        <v>334</v>
      </c>
      <c r="E364" s="30">
        <v>42300</v>
      </c>
      <c r="F364" s="80" t="s">
        <v>368</v>
      </c>
    </row>
    <row r="365" spans="1:6" x14ac:dyDescent="0.3">
      <c r="A365" s="74" t="s">
        <v>343</v>
      </c>
      <c r="B365" s="10" t="s">
        <v>441</v>
      </c>
      <c r="C365" s="10">
        <v>2074</v>
      </c>
      <c r="D365" s="10" t="s">
        <v>334</v>
      </c>
      <c r="E365" s="30">
        <v>42194</v>
      </c>
      <c r="F365" s="80" t="s">
        <v>369</v>
      </c>
    </row>
    <row r="366" spans="1:6" x14ac:dyDescent="0.3">
      <c r="A366" s="74" t="s">
        <v>370</v>
      </c>
      <c r="B366" s="10" t="s">
        <v>395</v>
      </c>
      <c r="C366" s="10">
        <v>2076</v>
      </c>
      <c r="D366" s="10" t="s">
        <v>337</v>
      </c>
      <c r="E366" s="30">
        <v>41878</v>
      </c>
      <c r="F366" s="80" t="s">
        <v>369</v>
      </c>
    </row>
    <row r="367" spans="1:6" x14ac:dyDescent="0.3">
      <c r="A367" s="74" t="s">
        <v>373</v>
      </c>
      <c r="B367" s="10" t="s">
        <v>421</v>
      </c>
      <c r="C367" s="10">
        <v>2078</v>
      </c>
      <c r="D367" s="10" t="s">
        <v>342</v>
      </c>
      <c r="E367" s="30">
        <v>41697</v>
      </c>
      <c r="F367" s="80" t="s">
        <v>366</v>
      </c>
    </row>
    <row r="368" spans="1:6" x14ac:dyDescent="0.3">
      <c r="A368" s="74" t="s">
        <v>370</v>
      </c>
      <c r="B368" s="10" t="s">
        <v>392</v>
      </c>
      <c r="C368" s="10">
        <v>2082</v>
      </c>
      <c r="D368" s="10" t="s">
        <v>391</v>
      </c>
      <c r="E368" s="30">
        <v>42261</v>
      </c>
      <c r="F368" s="80" t="s">
        <v>369</v>
      </c>
    </row>
    <row r="369" spans="1:6" x14ac:dyDescent="0.3">
      <c r="A369" s="74" t="s">
        <v>383</v>
      </c>
      <c r="B369" s="10" t="s">
        <v>384</v>
      </c>
      <c r="C369" s="10">
        <v>2082</v>
      </c>
      <c r="D369" s="10" t="s">
        <v>334</v>
      </c>
      <c r="E369" s="30">
        <v>41955</v>
      </c>
      <c r="F369" s="80" t="s">
        <v>368</v>
      </c>
    </row>
    <row r="370" spans="1:6" x14ac:dyDescent="0.3">
      <c r="A370" s="74" t="s">
        <v>335</v>
      </c>
      <c r="B370" s="10" t="s">
        <v>403</v>
      </c>
      <c r="C370" s="10">
        <v>2083</v>
      </c>
      <c r="D370" s="10" t="s">
        <v>391</v>
      </c>
      <c r="E370" s="30">
        <v>42280</v>
      </c>
      <c r="F370" s="80" t="s">
        <v>368</v>
      </c>
    </row>
    <row r="371" spans="1:6" x14ac:dyDescent="0.3">
      <c r="A371" s="74" t="s">
        <v>335</v>
      </c>
      <c r="B371" s="10" t="s">
        <v>403</v>
      </c>
      <c r="C371" s="10">
        <v>2086</v>
      </c>
      <c r="D371" s="10" t="s">
        <v>345</v>
      </c>
      <c r="E371" s="30">
        <v>42053</v>
      </c>
      <c r="F371" s="80" t="s">
        <v>366</v>
      </c>
    </row>
    <row r="372" spans="1:6" x14ac:dyDescent="0.3">
      <c r="A372" s="74" t="s">
        <v>335</v>
      </c>
      <c r="B372" s="10" t="s">
        <v>414</v>
      </c>
      <c r="C372" s="10">
        <v>2087</v>
      </c>
      <c r="D372" s="10" t="s">
        <v>334</v>
      </c>
      <c r="E372" s="30">
        <v>42027</v>
      </c>
      <c r="F372" s="80" t="s">
        <v>366</v>
      </c>
    </row>
    <row r="373" spans="1:6" x14ac:dyDescent="0.3">
      <c r="A373" s="74" t="s">
        <v>373</v>
      </c>
      <c r="B373" s="10" t="s">
        <v>390</v>
      </c>
      <c r="C373" s="10">
        <v>2091</v>
      </c>
      <c r="D373" s="10" t="s">
        <v>337</v>
      </c>
      <c r="E373" s="30">
        <v>41886</v>
      </c>
      <c r="F373" s="80" t="s">
        <v>369</v>
      </c>
    </row>
    <row r="374" spans="1:6" x14ac:dyDescent="0.3">
      <c r="A374" s="74" t="s">
        <v>373</v>
      </c>
      <c r="B374" s="10" t="s">
        <v>390</v>
      </c>
      <c r="C374" s="10">
        <v>2093</v>
      </c>
      <c r="D374" s="10" t="s">
        <v>345</v>
      </c>
      <c r="E374" s="30">
        <v>41893</v>
      </c>
      <c r="F374" s="80" t="s">
        <v>369</v>
      </c>
    </row>
    <row r="375" spans="1:6" x14ac:dyDescent="0.3">
      <c r="A375" s="74" t="s">
        <v>350</v>
      </c>
      <c r="B375" s="10" t="s">
        <v>408</v>
      </c>
      <c r="C375" s="10">
        <v>2098</v>
      </c>
      <c r="D375" s="10" t="s">
        <v>345</v>
      </c>
      <c r="E375" s="30">
        <v>42040</v>
      </c>
      <c r="F375" s="80" t="s">
        <v>366</v>
      </c>
    </row>
    <row r="376" spans="1:6" x14ac:dyDescent="0.3">
      <c r="A376" s="74" t="s">
        <v>373</v>
      </c>
      <c r="B376" s="10" t="s">
        <v>390</v>
      </c>
      <c r="C376" s="10">
        <v>2102</v>
      </c>
      <c r="D376" s="10" t="s">
        <v>372</v>
      </c>
      <c r="E376" s="30">
        <v>41944</v>
      </c>
      <c r="F376" s="80" t="s">
        <v>368</v>
      </c>
    </row>
    <row r="377" spans="1:6" x14ac:dyDescent="0.3">
      <c r="A377" s="74" t="s">
        <v>343</v>
      </c>
      <c r="B377" s="10" t="s">
        <v>427</v>
      </c>
      <c r="C377" s="10">
        <v>2103</v>
      </c>
      <c r="D377" s="10" t="s">
        <v>337</v>
      </c>
      <c r="E377" s="30">
        <v>42050</v>
      </c>
      <c r="F377" s="80" t="s">
        <v>366</v>
      </c>
    </row>
    <row r="378" spans="1:6" x14ac:dyDescent="0.3">
      <c r="A378" s="74" t="s">
        <v>350</v>
      </c>
      <c r="B378" s="10" t="s">
        <v>412</v>
      </c>
      <c r="C378" s="10">
        <v>2103</v>
      </c>
      <c r="D378" s="10" t="s">
        <v>372</v>
      </c>
      <c r="E378" s="30">
        <v>41676</v>
      </c>
      <c r="F378" s="80" t="s">
        <v>366</v>
      </c>
    </row>
    <row r="379" spans="1:6" x14ac:dyDescent="0.3">
      <c r="A379" s="74" t="s">
        <v>343</v>
      </c>
      <c r="B379" s="10" t="s">
        <v>410</v>
      </c>
      <c r="C379" s="10">
        <v>2105</v>
      </c>
      <c r="D379" s="10" t="s">
        <v>339</v>
      </c>
      <c r="E379" s="30">
        <v>41938</v>
      </c>
      <c r="F379" s="80" t="s">
        <v>368</v>
      </c>
    </row>
    <row r="380" spans="1:6" x14ac:dyDescent="0.3">
      <c r="A380" s="74" t="s">
        <v>335</v>
      </c>
      <c r="B380" s="10" t="s">
        <v>436</v>
      </c>
      <c r="C380" s="10">
        <v>2107</v>
      </c>
      <c r="D380" s="10" t="s">
        <v>349</v>
      </c>
      <c r="E380" s="30">
        <v>41745</v>
      </c>
      <c r="F380" s="80" t="s">
        <v>367</v>
      </c>
    </row>
    <row r="381" spans="1:6" x14ac:dyDescent="0.3">
      <c r="A381" s="74" t="s">
        <v>370</v>
      </c>
      <c r="B381" s="10" t="s">
        <v>392</v>
      </c>
      <c r="C381" s="10">
        <v>2110</v>
      </c>
      <c r="D381" s="10" t="s">
        <v>334</v>
      </c>
      <c r="E381" s="30">
        <v>42159</v>
      </c>
      <c r="F381" s="80" t="s">
        <v>367</v>
      </c>
    </row>
    <row r="382" spans="1:6" x14ac:dyDescent="0.3">
      <c r="A382" s="74" t="s">
        <v>350</v>
      </c>
      <c r="B382" s="10" t="s">
        <v>446</v>
      </c>
      <c r="C382" s="10">
        <v>2111</v>
      </c>
      <c r="D382" s="10" t="s">
        <v>372</v>
      </c>
      <c r="E382" s="30">
        <v>42001</v>
      </c>
      <c r="F382" s="80" t="s">
        <v>368</v>
      </c>
    </row>
    <row r="383" spans="1:6" x14ac:dyDescent="0.3">
      <c r="A383" s="74" t="s">
        <v>343</v>
      </c>
      <c r="B383" s="10" t="s">
        <v>419</v>
      </c>
      <c r="C383" s="10">
        <v>2120</v>
      </c>
      <c r="D383" s="10" t="s">
        <v>337</v>
      </c>
      <c r="E383" s="30">
        <v>41695</v>
      </c>
      <c r="F383" s="80" t="s">
        <v>366</v>
      </c>
    </row>
    <row r="384" spans="1:6" x14ac:dyDescent="0.3">
      <c r="A384" s="74" t="s">
        <v>383</v>
      </c>
      <c r="B384" s="10" t="s">
        <v>440</v>
      </c>
      <c r="C384" s="10">
        <v>2120</v>
      </c>
      <c r="D384" s="10" t="s">
        <v>349</v>
      </c>
      <c r="E384" s="30">
        <v>41961</v>
      </c>
      <c r="F384" s="80" t="s">
        <v>368</v>
      </c>
    </row>
    <row r="385" spans="1:6" x14ac:dyDescent="0.3">
      <c r="A385" s="74" t="s">
        <v>370</v>
      </c>
      <c r="B385" s="10" t="s">
        <v>387</v>
      </c>
      <c r="C385" s="10">
        <v>2124</v>
      </c>
      <c r="D385" s="10" t="s">
        <v>391</v>
      </c>
      <c r="E385" s="30">
        <v>42195</v>
      </c>
      <c r="F385" s="80" t="s">
        <v>369</v>
      </c>
    </row>
    <row r="386" spans="1:6" x14ac:dyDescent="0.3">
      <c r="A386" s="74" t="s">
        <v>343</v>
      </c>
      <c r="B386" s="10" t="s">
        <v>413</v>
      </c>
      <c r="C386" s="10">
        <v>2130</v>
      </c>
      <c r="D386" s="10" t="s">
        <v>345</v>
      </c>
      <c r="E386" s="30">
        <v>42298</v>
      </c>
      <c r="F386" s="80" t="s">
        <v>368</v>
      </c>
    </row>
    <row r="387" spans="1:6" x14ac:dyDescent="0.3">
      <c r="A387" s="74" t="s">
        <v>383</v>
      </c>
      <c r="B387" s="10" t="s">
        <v>384</v>
      </c>
      <c r="C387" s="10">
        <v>2134</v>
      </c>
      <c r="D387" s="10" t="s">
        <v>337</v>
      </c>
      <c r="E387" s="30">
        <v>42065</v>
      </c>
      <c r="F387" s="80" t="s">
        <v>366</v>
      </c>
    </row>
    <row r="388" spans="1:6" x14ac:dyDescent="0.3">
      <c r="A388" s="74" t="s">
        <v>332</v>
      </c>
      <c r="B388" s="10" t="s">
        <v>340</v>
      </c>
      <c r="C388" s="10">
        <v>2135</v>
      </c>
      <c r="D388" s="10" t="s">
        <v>339</v>
      </c>
      <c r="E388" s="30">
        <v>41841</v>
      </c>
      <c r="F388" s="80" t="s">
        <v>369</v>
      </c>
    </row>
    <row r="389" spans="1:6" x14ac:dyDescent="0.3">
      <c r="A389" s="74" t="s">
        <v>335</v>
      </c>
      <c r="B389" s="10" t="s">
        <v>436</v>
      </c>
      <c r="C389" s="10">
        <v>2138</v>
      </c>
      <c r="D389" s="10" t="s">
        <v>337</v>
      </c>
      <c r="E389" s="30">
        <v>42128</v>
      </c>
      <c r="F389" s="80" t="s">
        <v>367</v>
      </c>
    </row>
    <row r="390" spans="1:6" x14ac:dyDescent="0.3">
      <c r="A390" s="74" t="s">
        <v>343</v>
      </c>
      <c r="B390" s="10" t="s">
        <v>432</v>
      </c>
      <c r="C390" s="10">
        <v>2151</v>
      </c>
      <c r="D390" s="10" t="s">
        <v>349</v>
      </c>
      <c r="E390" s="30">
        <v>42100</v>
      </c>
      <c r="F390" s="80" t="s">
        <v>367</v>
      </c>
    </row>
    <row r="391" spans="1:6" x14ac:dyDescent="0.3">
      <c r="A391" s="74" t="s">
        <v>335</v>
      </c>
      <c r="B391" s="10" t="s">
        <v>436</v>
      </c>
      <c r="C391" s="10">
        <v>2152</v>
      </c>
      <c r="D391" s="10" t="s">
        <v>349</v>
      </c>
      <c r="E391" s="30">
        <v>42098</v>
      </c>
      <c r="F391" s="80" t="s">
        <v>367</v>
      </c>
    </row>
    <row r="392" spans="1:6" x14ac:dyDescent="0.3">
      <c r="A392" s="74" t="s">
        <v>370</v>
      </c>
      <c r="B392" s="10" t="s">
        <v>402</v>
      </c>
      <c r="C392" s="10">
        <v>2153</v>
      </c>
      <c r="D392" s="10" t="s">
        <v>341</v>
      </c>
      <c r="E392" s="30">
        <v>42233</v>
      </c>
      <c r="F392" s="80" t="s">
        <v>369</v>
      </c>
    </row>
    <row r="393" spans="1:6" x14ac:dyDescent="0.3">
      <c r="A393" s="74" t="s">
        <v>343</v>
      </c>
      <c r="B393" s="10" t="s">
        <v>410</v>
      </c>
      <c r="C393" s="10">
        <v>2157</v>
      </c>
      <c r="D393" s="10" t="s">
        <v>349</v>
      </c>
      <c r="E393" s="30">
        <v>42001</v>
      </c>
      <c r="F393" s="80" t="s">
        <v>368</v>
      </c>
    </row>
    <row r="394" spans="1:6" x14ac:dyDescent="0.3">
      <c r="A394" s="74" t="s">
        <v>332</v>
      </c>
      <c r="B394" s="10" t="s">
        <v>340</v>
      </c>
      <c r="C394" s="10">
        <v>2158</v>
      </c>
      <c r="D394" s="10" t="s">
        <v>337</v>
      </c>
      <c r="E394" s="30">
        <v>41885</v>
      </c>
      <c r="F394" s="80" t="s">
        <v>369</v>
      </c>
    </row>
    <row r="395" spans="1:6" x14ac:dyDescent="0.3">
      <c r="A395" s="74" t="s">
        <v>383</v>
      </c>
      <c r="B395" s="10" t="s">
        <v>384</v>
      </c>
      <c r="C395" s="10">
        <v>2177</v>
      </c>
      <c r="D395" s="10" t="s">
        <v>372</v>
      </c>
      <c r="E395" s="30">
        <v>42291</v>
      </c>
      <c r="F395" s="80" t="s">
        <v>368</v>
      </c>
    </row>
    <row r="396" spans="1:6" x14ac:dyDescent="0.3">
      <c r="A396" s="74" t="s">
        <v>335</v>
      </c>
      <c r="B396" s="10" t="s">
        <v>393</v>
      </c>
      <c r="C396" s="10">
        <v>2178</v>
      </c>
      <c r="D396" s="10" t="s">
        <v>349</v>
      </c>
      <c r="E396" s="30">
        <v>42165</v>
      </c>
      <c r="F396" s="80" t="s">
        <v>367</v>
      </c>
    </row>
    <row r="397" spans="1:6" x14ac:dyDescent="0.3">
      <c r="A397" s="74" t="s">
        <v>383</v>
      </c>
      <c r="B397" s="10" t="s">
        <v>424</v>
      </c>
      <c r="C397" s="10">
        <v>2178</v>
      </c>
      <c r="D397" s="10" t="s">
        <v>337</v>
      </c>
      <c r="E397" s="30">
        <v>41985</v>
      </c>
      <c r="F397" s="80" t="s">
        <v>368</v>
      </c>
    </row>
    <row r="398" spans="1:6" x14ac:dyDescent="0.3">
      <c r="A398" s="74" t="s">
        <v>373</v>
      </c>
      <c r="B398" s="10" t="s">
        <v>431</v>
      </c>
      <c r="C398" s="10">
        <v>2179</v>
      </c>
      <c r="D398" s="10" t="s">
        <v>349</v>
      </c>
      <c r="E398" s="30">
        <v>41990</v>
      </c>
      <c r="F398" s="80" t="s">
        <v>368</v>
      </c>
    </row>
    <row r="399" spans="1:6" x14ac:dyDescent="0.3">
      <c r="A399" s="74" t="s">
        <v>343</v>
      </c>
      <c r="B399" s="10" t="s">
        <v>417</v>
      </c>
      <c r="C399" s="10">
        <v>2180</v>
      </c>
      <c r="D399" s="10" t="s">
        <v>391</v>
      </c>
      <c r="E399" s="30">
        <v>42222</v>
      </c>
      <c r="F399" s="80" t="s">
        <v>369</v>
      </c>
    </row>
    <row r="400" spans="1:6" x14ac:dyDescent="0.3">
      <c r="A400" s="74" t="s">
        <v>373</v>
      </c>
      <c r="B400" s="10" t="s">
        <v>435</v>
      </c>
      <c r="C400" s="10">
        <v>2194</v>
      </c>
      <c r="D400" s="10" t="s">
        <v>342</v>
      </c>
      <c r="E400" s="30">
        <v>41692</v>
      </c>
      <c r="F400" s="80" t="s">
        <v>366</v>
      </c>
    </row>
    <row r="401" spans="1:6" x14ac:dyDescent="0.3">
      <c r="A401" s="74" t="s">
        <v>335</v>
      </c>
      <c r="B401" s="10" t="s">
        <v>415</v>
      </c>
      <c r="C401" s="10">
        <v>2196</v>
      </c>
      <c r="D401" s="10" t="s">
        <v>382</v>
      </c>
      <c r="E401" s="30">
        <v>41817</v>
      </c>
      <c r="F401" s="80" t="s">
        <v>367</v>
      </c>
    </row>
    <row r="402" spans="1:6" x14ac:dyDescent="0.3">
      <c r="A402" s="74" t="s">
        <v>332</v>
      </c>
      <c r="B402" s="10" t="s">
        <v>398</v>
      </c>
      <c r="C402" s="10">
        <v>2200</v>
      </c>
      <c r="D402" s="10" t="s">
        <v>342</v>
      </c>
      <c r="E402" s="30">
        <v>42020</v>
      </c>
      <c r="F402" s="80" t="s">
        <v>366</v>
      </c>
    </row>
    <row r="403" spans="1:6" x14ac:dyDescent="0.3">
      <c r="A403" s="74" t="s">
        <v>373</v>
      </c>
      <c r="B403" s="10" t="s">
        <v>423</v>
      </c>
      <c r="C403" s="10">
        <v>2203</v>
      </c>
      <c r="D403" s="10" t="s">
        <v>382</v>
      </c>
      <c r="E403" s="30">
        <v>42032</v>
      </c>
      <c r="F403" s="80" t="s">
        <v>366</v>
      </c>
    </row>
    <row r="404" spans="1:6" x14ac:dyDescent="0.3">
      <c r="A404" s="74" t="s">
        <v>335</v>
      </c>
      <c r="B404" s="10" t="s">
        <v>425</v>
      </c>
      <c r="C404" s="10">
        <v>2207</v>
      </c>
      <c r="D404" s="10" t="s">
        <v>339</v>
      </c>
      <c r="E404" s="30">
        <v>41717</v>
      </c>
      <c r="F404" s="80" t="s">
        <v>366</v>
      </c>
    </row>
    <row r="405" spans="1:6" x14ac:dyDescent="0.3">
      <c r="A405" s="74" t="s">
        <v>373</v>
      </c>
      <c r="B405" s="10" t="s">
        <v>390</v>
      </c>
      <c r="C405" s="10">
        <v>2211</v>
      </c>
      <c r="D405" s="10" t="s">
        <v>342</v>
      </c>
      <c r="E405" s="30">
        <v>41902</v>
      </c>
      <c r="F405" s="80" t="s">
        <v>369</v>
      </c>
    </row>
    <row r="406" spans="1:6" x14ac:dyDescent="0.3">
      <c r="A406" s="74" t="s">
        <v>343</v>
      </c>
      <c r="B406" s="10" t="s">
        <v>347</v>
      </c>
      <c r="C406" s="10">
        <v>2213</v>
      </c>
      <c r="D406" s="10" t="s">
        <v>337</v>
      </c>
      <c r="E406" s="30">
        <v>42179</v>
      </c>
      <c r="F406" s="80" t="s">
        <v>367</v>
      </c>
    </row>
    <row r="407" spans="1:6" x14ac:dyDescent="0.3">
      <c r="A407" s="74" t="s">
        <v>373</v>
      </c>
      <c r="B407" s="10" t="s">
        <v>445</v>
      </c>
      <c r="C407" s="10">
        <v>2214</v>
      </c>
      <c r="D407" s="10" t="s">
        <v>334</v>
      </c>
      <c r="E407" s="30">
        <v>42183</v>
      </c>
      <c r="F407" s="80" t="s">
        <v>367</v>
      </c>
    </row>
    <row r="408" spans="1:6" x14ac:dyDescent="0.3">
      <c r="A408" s="74" t="s">
        <v>335</v>
      </c>
      <c r="B408" s="10" t="s">
        <v>403</v>
      </c>
      <c r="C408" s="10">
        <v>2220</v>
      </c>
      <c r="D408" s="10" t="s">
        <v>372</v>
      </c>
      <c r="E408" s="30">
        <v>41724</v>
      </c>
      <c r="F408" s="80" t="s">
        <v>366</v>
      </c>
    </row>
    <row r="409" spans="1:6" x14ac:dyDescent="0.3">
      <c r="A409" s="74" t="s">
        <v>350</v>
      </c>
      <c r="B409" s="10" t="s">
        <v>443</v>
      </c>
      <c r="C409" s="10">
        <v>2221</v>
      </c>
      <c r="D409" s="10" t="s">
        <v>345</v>
      </c>
      <c r="E409" s="30">
        <v>41697</v>
      </c>
      <c r="F409" s="80" t="s">
        <v>366</v>
      </c>
    </row>
    <row r="410" spans="1:6" x14ac:dyDescent="0.3">
      <c r="A410" s="74" t="s">
        <v>332</v>
      </c>
      <c r="B410" s="10" t="s">
        <v>401</v>
      </c>
      <c r="C410" s="10">
        <v>2226</v>
      </c>
      <c r="D410" s="10" t="s">
        <v>337</v>
      </c>
      <c r="E410" s="30">
        <v>42330</v>
      </c>
      <c r="F410" s="80" t="s">
        <v>368</v>
      </c>
    </row>
    <row r="411" spans="1:6" x14ac:dyDescent="0.3">
      <c r="A411" s="74" t="s">
        <v>343</v>
      </c>
      <c r="B411" s="10" t="s">
        <v>396</v>
      </c>
      <c r="C411" s="10">
        <v>2227</v>
      </c>
      <c r="D411" s="10" t="s">
        <v>345</v>
      </c>
      <c r="E411" s="30">
        <v>42352</v>
      </c>
      <c r="F411" s="80" t="s">
        <v>368</v>
      </c>
    </row>
    <row r="412" spans="1:6" x14ac:dyDescent="0.3">
      <c r="A412" s="74" t="s">
        <v>370</v>
      </c>
      <c r="B412" s="10" t="s">
        <v>388</v>
      </c>
      <c r="C412" s="10">
        <v>2230</v>
      </c>
      <c r="D412" s="10" t="s">
        <v>337</v>
      </c>
      <c r="E412" s="30">
        <v>42040</v>
      </c>
      <c r="F412" s="80" t="s">
        <v>366</v>
      </c>
    </row>
    <row r="413" spans="1:6" x14ac:dyDescent="0.3">
      <c r="A413" s="74" t="s">
        <v>373</v>
      </c>
      <c r="B413" s="10" t="s">
        <v>445</v>
      </c>
      <c r="C413" s="10">
        <v>2230</v>
      </c>
      <c r="D413" s="10" t="s">
        <v>339</v>
      </c>
      <c r="E413" s="30">
        <v>42114</v>
      </c>
      <c r="F413" s="80" t="s">
        <v>367</v>
      </c>
    </row>
    <row r="414" spans="1:6" x14ac:dyDescent="0.3">
      <c r="A414" s="74" t="s">
        <v>335</v>
      </c>
      <c r="B414" s="10" t="s">
        <v>436</v>
      </c>
      <c r="C414" s="10">
        <v>2234</v>
      </c>
      <c r="D414" s="10" t="s">
        <v>382</v>
      </c>
      <c r="E414" s="30">
        <v>41809</v>
      </c>
      <c r="F414" s="80" t="s">
        <v>367</v>
      </c>
    </row>
    <row r="415" spans="1:6" x14ac:dyDescent="0.3">
      <c r="A415" s="74" t="s">
        <v>343</v>
      </c>
      <c r="B415" s="10" t="s">
        <v>344</v>
      </c>
      <c r="C415" s="10">
        <v>2235</v>
      </c>
      <c r="D415" s="10" t="s">
        <v>391</v>
      </c>
      <c r="E415" s="30">
        <v>42119</v>
      </c>
      <c r="F415" s="80" t="s">
        <v>367</v>
      </c>
    </row>
    <row r="416" spans="1:6" x14ac:dyDescent="0.3">
      <c r="A416" s="74" t="s">
        <v>335</v>
      </c>
      <c r="B416" s="10" t="s">
        <v>348</v>
      </c>
      <c r="C416" s="10">
        <v>2236</v>
      </c>
      <c r="D416" s="10" t="s">
        <v>342</v>
      </c>
      <c r="E416" s="30">
        <v>42063</v>
      </c>
      <c r="F416" s="80" t="s">
        <v>366</v>
      </c>
    </row>
    <row r="417" spans="1:6" x14ac:dyDescent="0.3">
      <c r="A417" s="74" t="s">
        <v>350</v>
      </c>
      <c r="B417" s="10" t="s">
        <v>408</v>
      </c>
      <c r="C417" s="10">
        <v>2236</v>
      </c>
      <c r="D417" s="10" t="s">
        <v>342</v>
      </c>
      <c r="E417" s="30">
        <v>42083</v>
      </c>
      <c r="F417" s="80" t="s">
        <v>366</v>
      </c>
    </row>
    <row r="418" spans="1:6" x14ac:dyDescent="0.3">
      <c r="A418" s="74" t="s">
        <v>373</v>
      </c>
      <c r="B418" s="10" t="s">
        <v>390</v>
      </c>
      <c r="C418" s="10">
        <v>2236</v>
      </c>
      <c r="D418" s="10" t="s">
        <v>342</v>
      </c>
      <c r="E418" s="30">
        <v>42146</v>
      </c>
      <c r="F418" s="80" t="s">
        <v>367</v>
      </c>
    </row>
    <row r="419" spans="1:6" x14ac:dyDescent="0.3">
      <c r="A419" s="74" t="s">
        <v>335</v>
      </c>
      <c r="B419" s="10" t="s">
        <v>393</v>
      </c>
      <c r="C419" s="10">
        <v>2239</v>
      </c>
      <c r="D419" s="10" t="s">
        <v>334</v>
      </c>
      <c r="E419" s="30">
        <v>42051</v>
      </c>
      <c r="F419" s="80" t="s">
        <v>366</v>
      </c>
    </row>
    <row r="420" spans="1:6" x14ac:dyDescent="0.3">
      <c r="A420" s="74" t="s">
        <v>370</v>
      </c>
      <c r="B420" s="10" t="s">
        <v>420</v>
      </c>
      <c r="C420" s="10">
        <v>2240</v>
      </c>
      <c r="D420" s="10" t="s">
        <v>339</v>
      </c>
      <c r="E420" s="30">
        <v>41734</v>
      </c>
      <c r="F420" s="80" t="s">
        <v>367</v>
      </c>
    </row>
    <row r="421" spans="1:6" x14ac:dyDescent="0.3">
      <c r="A421" s="74" t="s">
        <v>370</v>
      </c>
      <c r="B421" s="10" t="s">
        <v>418</v>
      </c>
      <c r="C421" s="10">
        <v>2245</v>
      </c>
      <c r="D421" s="10" t="s">
        <v>382</v>
      </c>
      <c r="E421" s="30">
        <v>42165</v>
      </c>
      <c r="F421" s="80" t="s">
        <v>367</v>
      </c>
    </row>
    <row r="422" spans="1:6" x14ac:dyDescent="0.3">
      <c r="A422" s="74" t="s">
        <v>370</v>
      </c>
      <c r="B422" s="10" t="s">
        <v>392</v>
      </c>
      <c r="C422" s="10">
        <v>2246</v>
      </c>
      <c r="D422" s="10" t="s">
        <v>349</v>
      </c>
      <c r="E422" s="30">
        <v>41685</v>
      </c>
      <c r="F422" s="80" t="s">
        <v>366</v>
      </c>
    </row>
    <row r="423" spans="1:6" x14ac:dyDescent="0.3">
      <c r="A423" s="74" t="s">
        <v>350</v>
      </c>
      <c r="B423" s="10" t="s">
        <v>443</v>
      </c>
      <c r="C423" s="10">
        <v>2246</v>
      </c>
      <c r="D423" s="10" t="s">
        <v>391</v>
      </c>
      <c r="E423" s="30">
        <v>41809</v>
      </c>
      <c r="F423" s="80" t="s">
        <v>367</v>
      </c>
    </row>
    <row r="424" spans="1:6" x14ac:dyDescent="0.3">
      <c r="A424" s="74" t="s">
        <v>335</v>
      </c>
      <c r="B424" s="10" t="s">
        <v>338</v>
      </c>
      <c r="C424" s="10">
        <v>2250</v>
      </c>
      <c r="D424" s="10" t="s">
        <v>345</v>
      </c>
      <c r="E424" s="30">
        <v>41723</v>
      </c>
      <c r="F424" s="80" t="s">
        <v>366</v>
      </c>
    </row>
    <row r="425" spans="1:6" x14ac:dyDescent="0.3">
      <c r="A425" s="74" t="s">
        <v>350</v>
      </c>
      <c r="B425" s="10" t="s">
        <v>412</v>
      </c>
      <c r="C425" s="10">
        <v>2251</v>
      </c>
      <c r="D425" s="10" t="s">
        <v>349</v>
      </c>
      <c r="E425" s="30">
        <v>41982</v>
      </c>
      <c r="F425" s="80" t="s">
        <v>368</v>
      </c>
    </row>
    <row r="426" spans="1:6" x14ac:dyDescent="0.3">
      <c r="A426" s="74" t="s">
        <v>335</v>
      </c>
      <c r="B426" s="10" t="s">
        <v>348</v>
      </c>
      <c r="C426" s="10">
        <v>2254</v>
      </c>
      <c r="D426" s="10" t="s">
        <v>341</v>
      </c>
      <c r="E426" s="30">
        <v>42165</v>
      </c>
      <c r="F426" s="80" t="s">
        <v>367</v>
      </c>
    </row>
    <row r="427" spans="1:6" x14ac:dyDescent="0.3">
      <c r="A427" s="74" t="s">
        <v>335</v>
      </c>
      <c r="B427" s="10" t="s">
        <v>415</v>
      </c>
      <c r="C427" s="10">
        <v>2260</v>
      </c>
      <c r="D427" s="10" t="s">
        <v>345</v>
      </c>
      <c r="E427" s="30">
        <v>41955</v>
      </c>
      <c r="F427" s="80" t="s">
        <v>368</v>
      </c>
    </row>
    <row r="428" spans="1:6" x14ac:dyDescent="0.3">
      <c r="A428" s="74" t="s">
        <v>370</v>
      </c>
      <c r="B428" s="10" t="s">
        <v>392</v>
      </c>
      <c r="C428" s="10">
        <v>2263</v>
      </c>
      <c r="D428" s="10" t="s">
        <v>382</v>
      </c>
      <c r="E428" s="30">
        <v>42066</v>
      </c>
      <c r="F428" s="80" t="s">
        <v>366</v>
      </c>
    </row>
    <row r="429" spans="1:6" x14ac:dyDescent="0.3">
      <c r="A429" s="74" t="s">
        <v>350</v>
      </c>
      <c r="B429" s="10" t="s">
        <v>426</v>
      </c>
      <c r="C429" s="10">
        <v>2266</v>
      </c>
      <c r="D429" s="10" t="s">
        <v>345</v>
      </c>
      <c r="E429" s="30">
        <v>41704</v>
      </c>
      <c r="F429" s="80" t="s">
        <v>366</v>
      </c>
    </row>
    <row r="430" spans="1:6" x14ac:dyDescent="0.3">
      <c r="A430" s="74" t="s">
        <v>332</v>
      </c>
      <c r="B430" s="10" t="s">
        <v>346</v>
      </c>
      <c r="C430" s="10">
        <v>2266</v>
      </c>
      <c r="D430" s="10" t="s">
        <v>391</v>
      </c>
      <c r="E430" s="30">
        <v>42151</v>
      </c>
      <c r="F430" s="80" t="s">
        <v>367</v>
      </c>
    </row>
    <row r="431" spans="1:6" x14ac:dyDescent="0.3">
      <c r="A431" s="74" t="s">
        <v>373</v>
      </c>
      <c r="B431" s="10" t="s">
        <v>431</v>
      </c>
      <c r="C431" s="10">
        <v>2266</v>
      </c>
      <c r="D431" s="10" t="s">
        <v>391</v>
      </c>
      <c r="E431" s="30">
        <v>42114</v>
      </c>
      <c r="F431" s="80" t="s">
        <v>367</v>
      </c>
    </row>
    <row r="432" spans="1:6" x14ac:dyDescent="0.3">
      <c r="A432" s="74" t="s">
        <v>370</v>
      </c>
      <c r="B432" s="10" t="s">
        <v>447</v>
      </c>
      <c r="C432" s="10">
        <v>2267</v>
      </c>
      <c r="D432" s="10" t="s">
        <v>339</v>
      </c>
      <c r="E432" s="30">
        <v>41840</v>
      </c>
      <c r="F432" s="80" t="s">
        <v>369</v>
      </c>
    </row>
    <row r="433" spans="1:6" x14ac:dyDescent="0.3">
      <c r="A433" s="74" t="s">
        <v>370</v>
      </c>
      <c r="B433" s="10" t="s">
        <v>397</v>
      </c>
      <c r="C433" s="10">
        <v>2275</v>
      </c>
      <c r="D433" s="10" t="s">
        <v>342</v>
      </c>
      <c r="E433" s="30">
        <v>41692</v>
      </c>
      <c r="F433" s="80" t="s">
        <v>366</v>
      </c>
    </row>
    <row r="434" spans="1:6" x14ac:dyDescent="0.3">
      <c r="A434" s="74" t="s">
        <v>370</v>
      </c>
      <c r="B434" s="10" t="s">
        <v>402</v>
      </c>
      <c r="C434" s="10">
        <v>2275</v>
      </c>
      <c r="D434" s="10" t="s">
        <v>337</v>
      </c>
      <c r="E434" s="30">
        <v>41673</v>
      </c>
      <c r="F434" s="80" t="s">
        <v>366</v>
      </c>
    </row>
    <row r="435" spans="1:6" x14ac:dyDescent="0.3">
      <c r="A435" s="74" t="s">
        <v>343</v>
      </c>
      <c r="B435" s="10" t="s">
        <v>386</v>
      </c>
      <c r="C435" s="10">
        <v>2283</v>
      </c>
      <c r="D435" s="10" t="s">
        <v>391</v>
      </c>
      <c r="E435" s="30">
        <v>42182</v>
      </c>
      <c r="F435" s="80" t="s">
        <v>367</v>
      </c>
    </row>
    <row r="436" spans="1:6" x14ac:dyDescent="0.3">
      <c r="A436" s="74" t="s">
        <v>373</v>
      </c>
      <c r="B436" s="10" t="s">
        <v>428</v>
      </c>
      <c r="C436" s="10">
        <v>2296</v>
      </c>
      <c r="D436" s="10" t="s">
        <v>339</v>
      </c>
      <c r="E436" s="30">
        <v>42324</v>
      </c>
      <c r="F436" s="80" t="s">
        <v>368</v>
      </c>
    </row>
    <row r="437" spans="1:6" x14ac:dyDescent="0.3">
      <c r="A437" s="74" t="s">
        <v>376</v>
      </c>
      <c r="B437" s="10" t="s">
        <v>377</v>
      </c>
      <c r="C437" s="10">
        <v>2297</v>
      </c>
      <c r="D437" s="10" t="s">
        <v>334</v>
      </c>
      <c r="E437" s="30">
        <v>42253</v>
      </c>
      <c r="F437" s="80" t="s">
        <v>369</v>
      </c>
    </row>
    <row r="438" spans="1:6" x14ac:dyDescent="0.3">
      <c r="A438" s="74" t="s">
        <v>370</v>
      </c>
      <c r="B438" s="10" t="s">
        <v>447</v>
      </c>
      <c r="C438" s="10">
        <v>2298</v>
      </c>
      <c r="D438" s="10" t="s">
        <v>372</v>
      </c>
      <c r="E438" s="30">
        <v>42165</v>
      </c>
      <c r="F438" s="80" t="s">
        <v>367</v>
      </c>
    </row>
    <row r="439" spans="1:6" x14ac:dyDescent="0.3">
      <c r="A439" s="74" t="s">
        <v>343</v>
      </c>
      <c r="B439" s="10" t="s">
        <v>432</v>
      </c>
      <c r="C439" s="10">
        <v>2299</v>
      </c>
      <c r="D439" s="10" t="s">
        <v>337</v>
      </c>
      <c r="E439" s="30">
        <v>42196</v>
      </c>
      <c r="F439" s="80" t="s">
        <v>369</v>
      </c>
    </row>
    <row r="440" spans="1:6" x14ac:dyDescent="0.3">
      <c r="A440" s="74" t="s">
        <v>350</v>
      </c>
      <c r="B440" s="10" t="s">
        <v>439</v>
      </c>
      <c r="C440" s="10">
        <v>2305</v>
      </c>
      <c r="D440" s="10" t="s">
        <v>334</v>
      </c>
      <c r="E440" s="30">
        <v>41644</v>
      </c>
      <c r="F440" s="80" t="s">
        <v>366</v>
      </c>
    </row>
    <row r="441" spans="1:6" x14ac:dyDescent="0.3">
      <c r="A441" s="74" t="s">
        <v>370</v>
      </c>
      <c r="B441" s="10" t="s">
        <v>385</v>
      </c>
      <c r="C441" s="10">
        <v>2311</v>
      </c>
      <c r="D441" s="10" t="s">
        <v>337</v>
      </c>
      <c r="E441" s="30">
        <v>42167</v>
      </c>
      <c r="F441" s="80" t="s">
        <v>367</v>
      </c>
    </row>
    <row r="442" spans="1:6" x14ac:dyDescent="0.3">
      <c r="A442" s="74" t="s">
        <v>343</v>
      </c>
      <c r="B442" s="10" t="s">
        <v>413</v>
      </c>
      <c r="C442" s="10">
        <v>2312</v>
      </c>
      <c r="D442" s="10" t="s">
        <v>341</v>
      </c>
      <c r="E442" s="30">
        <v>41753</v>
      </c>
      <c r="F442" s="80" t="s">
        <v>367</v>
      </c>
    </row>
    <row r="443" spans="1:6" x14ac:dyDescent="0.3">
      <c r="A443" s="74" t="s">
        <v>350</v>
      </c>
      <c r="B443" s="10" t="s">
        <v>416</v>
      </c>
      <c r="C443" s="10">
        <v>2313</v>
      </c>
      <c r="D443" s="10" t="s">
        <v>339</v>
      </c>
      <c r="E443" s="30">
        <v>42106</v>
      </c>
      <c r="F443" s="80" t="s">
        <v>367</v>
      </c>
    </row>
    <row r="444" spans="1:6" x14ac:dyDescent="0.3">
      <c r="A444" s="74" t="s">
        <v>343</v>
      </c>
      <c r="B444" s="10" t="s">
        <v>441</v>
      </c>
      <c r="C444" s="10">
        <v>2317</v>
      </c>
      <c r="D444" s="10" t="s">
        <v>391</v>
      </c>
      <c r="E444" s="30">
        <v>42119</v>
      </c>
      <c r="F444" s="80" t="s">
        <v>367</v>
      </c>
    </row>
    <row r="445" spans="1:6" x14ac:dyDescent="0.3">
      <c r="A445" s="74" t="s">
        <v>335</v>
      </c>
      <c r="B445" s="10" t="s">
        <v>336</v>
      </c>
      <c r="C445" s="10">
        <v>2323</v>
      </c>
      <c r="D445" s="10" t="s">
        <v>349</v>
      </c>
      <c r="E445" s="30">
        <v>41713</v>
      </c>
      <c r="F445" s="80" t="s">
        <v>366</v>
      </c>
    </row>
    <row r="446" spans="1:6" x14ac:dyDescent="0.3">
      <c r="A446" s="74" t="s">
        <v>332</v>
      </c>
      <c r="B446" s="10" t="s">
        <v>407</v>
      </c>
      <c r="C446" s="10">
        <v>2323</v>
      </c>
      <c r="D446" s="10" t="s">
        <v>339</v>
      </c>
      <c r="E446" s="30">
        <v>41757</v>
      </c>
      <c r="F446" s="80" t="s">
        <v>367</v>
      </c>
    </row>
    <row r="447" spans="1:6" x14ac:dyDescent="0.3">
      <c r="A447" s="74" t="s">
        <v>350</v>
      </c>
      <c r="B447" s="10" t="s">
        <v>446</v>
      </c>
      <c r="C447" s="10">
        <v>2326</v>
      </c>
      <c r="D447" s="10" t="s">
        <v>342</v>
      </c>
      <c r="E447" s="30">
        <v>41772</v>
      </c>
      <c r="F447" s="80" t="s">
        <v>367</v>
      </c>
    </row>
    <row r="448" spans="1:6" x14ac:dyDescent="0.3">
      <c r="A448" s="74" t="s">
        <v>343</v>
      </c>
      <c r="B448" s="10" t="s">
        <v>448</v>
      </c>
      <c r="C448" s="10">
        <v>2334</v>
      </c>
      <c r="D448" s="10" t="s">
        <v>342</v>
      </c>
      <c r="E448" s="30">
        <v>42319</v>
      </c>
      <c r="F448" s="80" t="s">
        <v>368</v>
      </c>
    </row>
    <row r="449" spans="1:6" x14ac:dyDescent="0.3">
      <c r="A449" s="74" t="s">
        <v>373</v>
      </c>
      <c r="B449" s="10" t="s">
        <v>433</v>
      </c>
      <c r="C449" s="10">
        <v>2337</v>
      </c>
      <c r="D449" s="10" t="s">
        <v>382</v>
      </c>
      <c r="E449" s="30">
        <v>42075</v>
      </c>
      <c r="F449" s="80" t="s">
        <v>366</v>
      </c>
    </row>
    <row r="450" spans="1:6" x14ac:dyDescent="0.3">
      <c r="A450" s="74" t="s">
        <v>373</v>
      </c>
      <c r="B450" s="10" t="s">
        <v>445</v>
      </c>
      <c r="C450" s="10">
        <v>2339</v>
      </c>
      <c r="D450" s="10" t="s">
        <v>391</v>
      </c>
      <c r="E450" s="30">
        <v>42139</v>
      </c>
      <c r="F450" s="80" t="s">
        <v>367</v>
      </c>
    </row>
    <row r="451" spans="1:6" x14ac:dyDescent="0.3">
      <c r="A451" s="74" t="s">
        <v>335</v>
      </c>
      <c r="B451" s="10" t="s">
        <v>415</v>
      </c>
      <c r="C451" s="10">
        <v>2339</v>
      </c>
      <c r="D451" s="10" t="s">
        <v>341</v>
      </c>
      <c r="E451" s="30">
        <v>41796</v>
      </c>
      <c r="F451" s="80" t="s">
        <v>367</v>
      </c>
    </row>
    <row r="452" spans="1:6" x14ac:dyDescent="0.3">
      <c r="A452" s="74" t="s">
        <v>383</v>
      </c>
      <c r="B452" s="10" t="s">
        <v>384</v>
      </c>
      <c r="C452" s="10">
        <v>2348</v>
      </c>
      <c r="D452" s="10" t="s">
        <v>391</v>
      </c>
      <c r="E452" s="30">
        <v>41934</v>
      </c>
      <c r="F452" s="80" t="s">
        <v>368</v>
      </c>
    </row>
    <row r="453" spans="1:6" x14ac:dyDescent="0.3">
      <c r="A453" s="74" t="s">
        <v>350</v>
      </c>
      <c r="B453" s="10" t="s">
        <v>394</v>
      </c>
      <c r="C453" s="10">
        <v>2355</v>
      </c>
      <c r="D453" s="10" t="s">
        <v>341</v>
      </c>
      <c r="E453" s="30">
        <v>41873</v>
      </c>
      <c r="F453" s="80" t="s">
        <v>369</v>
      </c>
    </row>
    <row r="454" spans="1:6" x14ac:dyDescent="0.3">
      <c r="A454" s="74" t="s">
        <v>335</v>
      </c>
      <c r="B454" s="10" t="s">
        <v>336</v>
      </c>
      <c r="C454" s="10">
        <v>2356</v>
      </c>
      <c r="D454" s="10" t="s">
        <v>341</v>
      </c>
      <c r="E454" s="30">
        <v>41784</v>
      </c>
      <c r="F454" s="80" t="s">
        <v>367</v>
      </c>
    </row>
    <row r="455" spans="1:6" x14ac:dyDescent="0.3">
      <c r="A455" s="74" t="s">
        <v>332</v>
      </c>
      <c r="B455" s="10" t="s">
        <v>340</v>
      </c>
      <c r="C455" s="10">
        <v>2357</v>
      </c>
      <c r="D455" s="10" t="s">
        <v>337</v>
      </c>
      <c r="E455" s="30">
        <v>42147</v>
      </c>
      <c r="F455" s="80" t="s">
        <v>367</v>
      </c>
    </row>
    <row r="456" spans="1:6" x14ac:dyDescent="0.3">
      <c r="A456" s="74" t="s">
        <v>332</v>
      </c>
      <c r="B456" s="10" t="s">
        <v>407</v>
      </c>
      <c r="C456" s="10">
        <v>2361</v>
      </c>
      <c r="D456" s="10" t="s">
        <v>391</v>
      </c>
      <c r="E456" s="30">
        <v>42282</v>
      </c>
      <c r="F456" s="80" t="s">
        <v>368</v>
      </c>
    </row>
    <row r="457" spans="1:6" x14ac:dyDescent="0.3">
      <c r="A457" s="74" t="s">
        <v>383</v>
      </c>
      <c r="B457" s="10" t="s">
        <v>424</v>
      </c>
      <c r="C457" s="10">
        <v>2368</v>
      </c>
      <c r="D457" s="10" t="s">
        <v>337</v>
      </c>
      <c r="E457" s="30">
        <v>41752</v>
      </c>
      <c r="F457" s="80" t="s">
        <v>367</v>
      </c>
    </row>
    <row r="458" spans="1:6" x14ac:dyDescent="0.3">
      <c r="A458" s="74" t="s">
        <v>350</v>
      </c>
      <c r="B458" s="10" t="s">
        <v>351</v>
      </c>
      <c r="C458" s="10">
        <v>2369</v>
      </c>
      <c r="D458" s="10" t="s">
        <v>341</v>
      </c>
      <c r="E458" s="30">
        <v>42258</v>
      </c>
      <c r="F458" s="80" t="s">
        <v>369</v>
      </c>
    </row>
    <row r="459" spans="1:6" x14ac:dyDescent="0.3">
      <c r="A459" s="74" t="s">
        <v>370</v>
      </c>
      <c r="B459" s="10" t="s">
        <v>387</v>
      </c>
      <c r="C459" s="10">
        <v>2370</v>
      </c>
      <c r="D459" s="10" t="s">
        <v>345</v>
      </c>
      <c r="E459" s="30">
        <v>42151</v>
      </c>
      <c r="F459" s="80" t="s">
        <v>367</v>
      </c>
    </row>
    <row r="460" spans="1:6" x14ac:dyDescent="0.3">
      <c r="A460" s="74" t="s">
        <v>370</v>
      </c>
      <c r="B460" s="10" t="s">
        <v>397</v>
      </c>
      <c r="C460" s="10">
        <v>2379</v>
      </c>
      <c r="D460" s="10" t="s">
        <v>345</v>
      </c>
      <c r="E460" s="30">
        <v>42036</v>
      </c>
      <c r="F460" s="80" t="s">
        <v>366</v>
      </c>
    </row>
    <row r="461" spans="1:6" x14ac:dyDescent="0.3">
      <c r="A461" s="74" t="s">
        <v>370</v>
      </c>
      <c r="B461" s="10" t="s">
        <v>397</v>
      </c>
      <c r="C461" s="10">
        <v>2383</v>
      </c>
      <c r="D461" s="10" t="s">
        <v>349</v>
      </c>
      <c r="E461" s="30">
        <v>41866</v>
      </c>
      <c r="F461" s="80" t="s">
        <v>369</v>
      </c>
    </row>
    <row r="462" spans="1:6" x14ac:dyDescent="0.3">
      <c r="A462" s="74" t="s">
        <v>376</v>
      </c>
      <c r="B462" s="10" t="s">
        <v>377</v>
      </c>
      <c r="C462" s="10">
        <v>2385</v>
      </c>
      <c r="D462" s="10" t="s">
        <v>345</v>
      </c>
      <c r="E462" s="30">
        <v>42180</v>
      </c>
      <c r="F462" s="80" t="s">
        <v>367</v>
      </c>
    </row>
    <row r="463" spans="1:6" x14ac:dyDescent="0.3">
      <c r="A463" s="74" t="s">
        <v>370</v>
      </c>
      <c r="B463" s="10" t="s">
        <v>402</v>
      </c>
      <c r="C463" s="10">
        <v>2388</v>
      </c>
      <c r="D463" s="10" t="s">
        <v>349</v>
      </c>
      <c r="E463" s="30">
        <v>41812</v>
      </c>
      <c r="F463" s="80" t="s">
        <v>367</v>
      </c>
    </row>
    <row r="464" spans="1:6" x14ac:dyDescent="0.3">
      <c r="A464" s="74" t="s">
        <v>383</v>
      </c>
      <c r="B464" s="10" t="s">
        <v>424</v>
      </c>
      <c r="C464" s="10">
        <v>2388</v>
      </c>
      <c r="D464" s="10" t="s">
        <v>349</v>
      </c>
      <c r="E464" s="30">
        <v>41793</v>
      </c>
      <c r="F464" s="80" t="s">
        <v>367</v>
      </c>
    </row>
    <row r="465" spans="1:6" x14ac:dyDescent="0.3">
      <c r="A465" s="74" t="s">
        <v>343</v>
      </c>
      <c r="B465" s="10" t="s">
        <v>400</v>
      </c>
      <c r="C465" s="10">
        <v>2390</v>
      </c>
      <c r="D465" s="10" t="s">
        <v>382</v>
      </c>
      <c r="E465" s="30">
        <v>41657</v>
      </c>
      <c r="F465" s="80" t="s">
        <v>366</v>
      </c>
    </row>
    <row r="466" spans="1:6" x14ac:dyDescent="0.3">
      <c r="A466" s="74" t="s">
        <v>343</v>
      </c>
      <c r="B466" s="10" t="s">
        <v>417</v>
      </c>
      <c r="C466" s="10">
        <v>2392</v>
      </c>
      <c r="D466" s="10" t="s">
        <v>372</v>
      </c>
      <c r="E466" s="30">
        <v>42227</v>
      </c>
      <c r="F466" s="80" t="s">
        <v>369</v>
      </c>
    </row>
    <row r="467" spans="1:6" x14ac:dyDescent="0.3">
      <c r="A467" s="74" t="s">
        <v>350</v>
      </c>
      <c r="B467" s="10" t="s">
        <v>408</v>
      </c>
      <c r="C467" s="10">
        <v>2401</v>
      </c>
      <c r="D467" s="10" t="s">
        <v>339</v>
      </c>
      <c r="E467" s="30">
        <v>41644</v>
      </c>
      <c r="F467" s="80" t="s">
        <v>366</v>
      </c>
    </row>
    <row r="468" spans="1:6" x14ac:dyDescent="0.3">
      <c r="A468" s="74" t="s">
        <v>343</v>
      </c>
      <c r="B468" s="10" t="s">
        <v>448</v>
      </c>
      <c r="C468" s="10">
        <v>2403</v>
      </c>
      <c r="D468" s="10" t="s">
        <v>341</v>
      </c>
      <c r="E468" s="30">
        <v>42302</v>
      </c>
      <c r="F468" s="80" t="s">
        <v>368</v>
      </c>
    </row>
    <row r="469" spans="1:6" x14ac:dyDescent="0.3">
      <c r="A469" s="74" t="s">
        <v>350</v>
      </c>
      <c r="B469" s="10" t="s">
        <v>416</v>
      </c>
      <c r="C469" s="10">
        <v>2405</v>
      </c>
      <c r="D469" s="10" t="s">
        <v>345</v>
      </c>
      <c r="E469" s="30">
        <v>42127</v>
      </c>
      <c r="F469" s="80" t="s">
        <v>367</v>
      </c>
    </row>
    <row r="470" spans="1:6" x14ac:dyDescent="0.3">
      <c r="A470" s="74" t="s">
        <v>370</v>
      </c>
      <c r="B470" s="10" t="s">
        <v>442</v>
      </c>
      <c r="C470" s="10">
        <v>2405</v>
      </c>
      <c r="D470" s="10" t="s">
        <v>342</v>
      </c>
      <c r="E470" s="30">
        <v>41891</v>
      </c>
      <c r="F470" s="80" t="s">
        <v>369</v>
      </c>
    </row>
    <row r="471" spans="1:6" x14ac:dyDescent="0.3">
      <c r="A471" s="74" t="s">
        <v>383</v>
      </c>
      <c r="B471" s="10" t="s">
        <v>438</v>
      </c>
      <c r="C471" s="10">
        <v>2416</v>
      </c>
      <c r="D471" s="10" t="s">
        <v>341</v>
      </c>
      <c r="E471" s="30">
        <v>41905</v>
      </c>
      <c r="F471" s="80" t="s">
        <v>369</v>
      </c>
    </row>
    <row r="472" spans="1:6" x14ac:dyDescent="0.3">
      <c r="A472" s="74" t="s">
        <v>343</v>
      </c>
      <c r="B472" s="10" t="s">
        <v>441</v>
      </c>
      <c r="C472" s="10">
        <v>2417</v>
      </c>
      <c r="D472" s="10" t="s">
        <v>339</v>
      </c>
      <c r="E472" s="30">
        <v>41872</v>
      </c>
      <c r="F472" s="80" t="s">
        <v>369</v>
      </c>
    </row>
    <row r="473" spans="1:6" x14ac:dyDescent="0.3">
      <c r="A473" s="74" t="s">
        <v>370</v>
      </c>
      <c r="B473" s="10" t="s">
        <v>447</v>
      </c>
      <c r="C473" s="10">
        <v>2418</v>
      </c>
      <c r="D473" s="10" t="s">
        <v>382</v>
      </c>
      <c r="E473" s="30">
        <v>42343</v>
      </c>
      <c r="F473" s="80" t="s">
        <v>368</v>
      </c>
    </row>
    <row r="474" spans="1:6" x14ac:dyDescent="0.3">
      <c r="A474" s="74" t="s">
        <v>335</v>
      </c>
      <c r="B474" s="10" t="s">
        <v>405</v>
      </c>
      <c r="C474" s="10">
        <v>2418</v>
      </c>
      <c r="D474" s="10" t="s">
        <v>337</v>
      </c>
      <c r="E474" s="30">
        <v>41921</v>
      </c>
      <c r="F474" s="80" t="s">
        <v>368</v>
      </c>
    </row>
    <row r="475" spans="1:6" x14ac:dyDescent="0.3">
      <c r="A475" s="74" t="s">
        <v>370</v>
      </c>
      <c r="B475" s="10" t="s">
        <v>420</v>
      </c>
      <c r="C475" s="10">
        <v>2426</v>
      </c>
      <c r="D475" s="10" t="s">
        <v>342</v>
      </c>
      <c r="E475" s="30">
        <v>42318</v>
      </c>
      <c r="F475" s="80" t="s">
        <v>368</v>
      </c>
    </row>
    <row r="476" spans="1:6" x14ac:dyDescent="0.3">
      <c r="A476" s="74" t="s">
        <v>370</v>
      </c>
      <c r="B476" s="10" t="s">
        <v>395</v>
      </c>
      <c r="C476" s="10">
        <v>2431</v>
      </c>
      <c r="D476" s="10" t="s">
        <v>382</v>
      </c>
      <c r="E476" s="30">
        <v>42229</v>
      </c>
      <c r="F476" s="80" t="s">
        <v>369</v>
      </c>
    </row>
    <row r="477" spans="1:6" x14ac:dyDescent="0.3">
      <c r="A477" s="74" t="s">
        <v>343</v>
      </c>
      <c r="B477" s="10" t="s">
        <v>410</v>
      </c>
      <c r="C477" s="10">
        <v>2433</v>
      </c>
      <c r="D477" s="10" t="s">
        <v>342</v>
      </c>
      <c r="E477" s="30">
        <v>41902</v>
      </c>
      <c r="F477" s="80" t="s">
        <v>369</v>
      </c>
    </row>
    <row r="478" spans="1:6" x14ac:dyDescent="0.3">
      <c r="A478" s="74" t="s">
        <v>335</v>
      </c>
      <c r="B478" s="10" t="s">
        <v>405</v>
      </c>
      <c r="C478" s="10">
        <v>2433</v>
      </c>
      <c r="D478" s="10" t="s">
        <v>345</v>
      </c>
      <c r="E478" s="30">
        <v>41926</v>
      </c>
      <c r="F478" s="80" t="s">
        <v>368</v>
      </c>
    </row>
    <row r="479" spans="1:6" x14ac:dyDescent="0.3">
      <c r="A479" s="74" t="s">
        <v>373</v>
      </c>
      <c r="B479" s="10" t="s">
        <v>437</v>
      </c>
      <c r="C479" s="10">
        <v>2435</v>
      </c>
      <c r="D479" s="10" t="s">
        <v>341</v>
      </c>
      <c r="E479" s="30">
        <v>41990</v>
      </c>
      <c r="F479" s="80" t="s">
        <v>368</v>
      </c>
    </row>
    <row r="480" spans="1:6" x14ac:dyDescent="0.3">
      <c r="A480" s="74" t="s">
        <v>370</v>
      </c>
      <c r="B480" s="10" t="s">
        <v>385</v>
      </c>
      <c r="C480" s="10">
        <v>2443</v>
      </c>
      <c r="D480" s="10" t="s">
        <v>391</v>
      </c>
      <c r="E480" s="30">
        <v>41926</v>
      </c>
      <c r="F480" s="80" t="s">
        <v>368</v>
      </c>
    </row>
    <row r="481" spans="1:6" x14ac:dyDescent="0.3">
      <c r="A481" s="74" t="s">
        <v>373</v>
      </c>
      <c r="B481" s="10" t="s">
        <v>390</v>
      </c>
      <c r="C481" s="10">
        <v>2445</v>
      </c>
      <c r="D481" s="10" t="s">
        <v>341</v>
      </c>
      <c r="E481" s="30">
        <v>42165</v>
      </c>
      <c r="F481" s="80" t="s">
        <v>367</v>
      </c>
    </row>
    <row r="482" spans="1:6" x14ac:dyDescent="0.3">
      <c r="A482" s="74" t="s">
        <v>343</v>
      </c>
      <c r="B482" s="10" t="s">
        <v>419</v>
      </c>
      <c r="C482" s="10">
        <v>2447</v>
      </c>
      <c r="D482" s="10" t="s">
        <v>391</v>
      </c>
      <c r="E482" s="30">
        <v>42097</v>
      </c>
      <c r="F482" s="80" t="s">
        <v>367</v>
      </c>
    </row>
    <row r="483" spans="1:6" x14ac:dyDescent="0.3">
      <c r="A483" s="74" t="s">
        <v>373</v>
      </c>
      <c r="B483" s="10" t="s">
        <v>390</v>
      </c>
      <c r="C483" s="10">
        <v>2448</v>
      </c>
      <c r="D483" s="10" t="s">
        <v>382</v>
      </c>
      <c r="E483" s="30">
        <v>41782</v>
      </c>
      <c r="F483" s="80" t="s">
        <v>367</v>
      </c>
    </row>
    <row r="484" spans="1:6" x14ac:dyDescent="0.3">
      <c r="A484" s="74" t="s">
        <v>370</v>
      </c>
      <c r="B484" s="10" t="s">
        <v>392</v>
      </c>
      <c r="C484" s="10">
        <v>2450</v>
      </c>
      <c r="D484" s="10" t="s">
        <v>345</v>
      </c>
      <c r="E484" s="30">
        <v>41646</v>
      </c>
      <c r="F484" s="80" t="s">
        <v>366</v>
      </c>
    </row>
    <row r="485" spans="1:6" x14ac:dyDescent="0.3">
      <c r="A485" s="74" t="s">
        <v>376</v>
      </c>
      <c r="B485" s="10" t="s">
        <v>380</v>
      </c>
      <c r="C485" s="10">
        <v>2451</v>
      </c>
      <c r="D485" s="10" t="s">
        <v>342</v>
      </c>
      <c r="E485" s="30">
        <v>41814</v>
      </c>
      <c r="F485" s="80" t="s">
        <v>367</v>
      </c>
    </row>
    <row r="486" spans="1:6" x14ac:dyDescent="0.3">
      <c r="A486" s="74" t="s">
        <v>373</v>
      </c>
      <c r="B486" s="10" t="s">
        <v>421</v>
      </c>
      <c r="C486" s="10">
        <v>2455</v>
      </c>
      <c r="D486" s="10" t="s">
        <v>342</v>
      </c>
      <c r="E486" s="30">
        <v>41756</v>
      </c>
      <c r="F486" s="80" t="s">
        <v>367</v>
      </c>
    </row>
    <row r="487" spans="1:6" x14ac:dyDescent="0.3">
      <c r="A487" s="74" t="s">
        <v>370</v>
      </c>
      <c r="B487" s="10" t="s">
        <v>395</v>
      </c>
      <c r="C487" s="10">
        <v>2457</v>
      </c>
      <c r="D487" s="10" t="s">
        <v>337</v>
      </c>
      <c r="E487" s="30">
        <v>41952</v>
      </c>
      <c r="F487" s="80" t="s">
        <v>368</v>
      </c>
    </row>
    <row r="488" spans="1:6" x14ac:dyDescent="0.3">
      <c r="A488" s="74" t="s">
        <v>370</v>
      </c>
      <c r="B488" s="10" t="s">
        <v>389</v>
      </c>
      <c r="C488" s="10">
        <v>2464</v>
      </c>
      <c r="D488" s="10" t="s">
        <v>337</v>
      </c>
      <c r="E488" s="30">
        <v>41646</v>
      </c>
      <c r="F488" s="80" t="s">
        <v>366</v>
      </c>
    </row>
    <row r="489" spans="1:6" x14ac:dyDescent="0.3">
      <c r="A489" s="74" t="s">
        <v>370</v>
      </c>
      <c r="B489" s="10" t="s">
        <v>397</v>
      </c>
      <c r="C489" s="10">
        <v>2465</v>
      </c>
      <c r="D489" s="10" t="s">
        <v>372</v>
      </c>
      <c r="E489" s="30">
        <v>41872</v>
      </c>
      <c r="F489" s="80" t="s">
        <v>369</v>
      </c>
    </row>
    <row r="490" spans="1:6" x14ac:dyDescent="0.3">
      <c r="A490" s="74" t="s">
        <v>343</v>
      </c>
      <c r="B490" s="10" t="s">
        <v>396</v>
      </c>
      <c r="C490" s="10">
        <v>2470</v>
      </c>
      <c r="D490" s="10" t="s">
        <v>341</v>
      </c>
      <c r="E490" s="30">
        <v>41953</v>
      </c>
      <c r="F490" s="80" t="s">
        <v>368</v>
      </c>
    </row>
    <row r="491" spans="1:6" x14ac:dyDescent="0.3">
      <c r="A491" s="74" t="s">
        <v>370</v>
      </c>
      <c r="B491" s="10" t="s">
        <v>387</v>
      </c>
      <c r="C491" s="10">
        <v>2471</v>
      </c>
      <c r="D491" s="10" t="s">
        <v>345</v>
      </c>
      <c r="E491" s="30">
        <v>42228</v>
      </c>
      <c r="F491" s="80" t="s">
        <v>369</v>
      </c>
    </row>
    <row r="492" spans="1:6" x14ac:dyDescent="0.3">
      <c r="A492" s="74" t="s">
        <v>350</v>
      </c>
      <c r="B492" s="10" t="s">
        <v>408</v>
      </c>
      <c r="C492" s="10">
        <v>2477</v>
      </c>
      <c r="D492" s="10" t="s">
        <v>382</v>
      </c>
      <c r="E492" s="30">
        <v>41737</v>
      </c>
      <c r="F492" s="80" t="s">
        <v>367</v>
      </c>
    </row>
    <row r="493" spans="1:6" x14ac:dyDescent="0.3">
      <c r="A493" s="74" t="s">
        <v>343</v>
      </c>
      <c r="B493" s="10" t="s">
        <v>396</v>
      </c>
      <c r="C493" s="10">
        <v>2484</v>
      </c>
      <c r="D493" s="10" t="s">
        <v>337</v>
      </c>
      <c r="E493" s="30">
        <v>41671</v>
      </c>
      <c r="F493" s="80" t="s">
        <v>366</v>
      </c>
    </row>
    <row r="494" spans="1:6" x14ac:dyDescent="0.3">
      <c r="A494" s="74" t="s">
        <v>370</v>
      </c>
      <c r="B494" s="10" t="s">
        <v>389</v>
      </c>
      <c r="C494" s="10">
        <v>2484</v>
      </c>
      <c r="D494" s="10" t="s">
        <v>334</v>
      </c>
      <c r="E494" s="30">
        <v>41784</v>
      </c>
      <c r="F494" s="80" t="s">
        <v>367</v>
      </c>
    </row>
    <row r="495" spans="1:6" x14ac:dyDescent="0.3">
      <c r="A495" s="74" t="s">
        <v>335</v>
      </c>
      <c r="B495" s="10" t="s">
        <v>348</v>
      </c>
      <c r="C495" s="10">
        <v>2485</v>
      </c>
      <c r="D495" s="10" t="s">
        <v>349</v>
      </c>
      <c r="E495" s="30">
        <v>42165</v>
      </c>
      <c r="F495" s="80" t="s">
        <v>367</v>
      </c>
    </row>
    <row r="496" spans="1:6" x14ac:dyDescent="0.3">
      <c r="A496" s="74" t="s">
        <v>370</v>
      </c>
      <c r="B496" s="10" t="s">
        <v>402</v>
      </c>
      <c r="C496" s="10">
        <v>2488</v>
      </c>
      <c r="D496" s="10" t="s">
        <v>334</v>
      </c>
      <c r="E496" s="30">
        <v>41711</v>
      </c>
      <c r="F496" s="80" t="s">
        <v>366</v>
      </c>
    </row>
    <row r="497" spans="1:6" x14ac:dyDescent="0.3">
      <c r="A497" s="74" t="s">
        <v>373</v>
      </c>
      <c r="B497" s="10" t="s">
        <v>428</v>
      </c>
      <c r="C497" s="10">
        <v>2488</v>
      </c>
      <c r="D497" s="10" t="s">
        <v>345</v>
      </c>
      <c r="E497" s="30">
        <v>42218</v>
      </c>
      <c r="F497" s="80" t="s">
        <v>369</v>
      </c>
    </row>
    <row r="498" spans="1:6" x14ac:dyDescent="0.3">
      <c r="A498" s="74" t="s">
        <v>383</v>
      </c>
      <c r="B498" s="10" t="s">
        <v>411</v>
      </c>
      <c r="C498" s="10">
        <v>2488</v>
      </c>
      <c r="D498" s="10" t="s">
        <v>334</v>
      </c>
      <c r="E498" s="30">
        <v>41939</v>
      </c>
      <c r="F498" s="80" t="s">
        <v>368</v>
      </c>
    </row>
    <row r="499" spans="1:6" x14ac:dyDescent="0.3">
      <c r="A499" s="74" t="s">
        <v>335</v>
      </c>
      <c r="B499" s="10" t="s">
        <v>425</v>
      </c>
      <c r="C499" s="10">
        <v>2493</v>
      </c>
      <c r="D499" s="10" t="s">
        <v>391</v>
      </c>
      <c r="E499" s="30">
        <v>42226</v>
      </c>
      <c r="F499" s="80" t="s">
        <v>369</v>
      </c>
    </row>
    <row r="500" spans="1:6" x14ac:dyDescent="0.3">
      <c r="A500" s="74" t="s">
        <v>343</v>
      </c>
      <c r="B500" s="10" t="s">
        <v>448</v>
      </c>
      <c r="C500" s="10">
        <v>2495</v>
      </c>
      <c r="D500" s="10" t="s">
        <v>334</v>
      </c>
      <c r="E500" s="30">
        <v>42143</v>
      </c>
      <c r="F500" s="80" t="s">
        <v>367</v>
      </c>
    </row>
    <row r="501" spans="1:6" x14ac:dyDescent="0.3">
      <c r="A501" s="74" t="s">
        <v>370</v>
      </c>
      <c r="B501" s="10" t="s">
        <v>387</v>
      </c>
      <c r="C501" s="10">
        <v>2503</v>
      </c>
      <c r="D501" s="10" t="s">
        <v>349</v>
      </c>
      <c r="E501" s="30">
        <v>42346</v>
      </c>
      <c r="F501" s="80" t="s">
        <v>368</v>
      </c>
    </row>
    <row r="502" spans="1:6" x14ac:dyDescent="0.3">
      <c r="A502" s="74" t="s">
        <v>370</v>
      </c>
      <c r="B502" s="10" t="s">
        <v>447</v>
      </c>
      <c r="C502" s="10">
        <v>2509</v>
      </c>
      <c r="D502" s="10" t="s">
        <v>349</v>
      </c>
      <c r="E502" s="30">
        <v>42149</v>
      </c>
      <c r="F502" s="80" t="s">
        <v>367</v>
      </c>
    </row>
    <row r="503" spans="1:6" x14ac:dyDescent="0.3">
      <c r="A503" s="74" t="s">
        <v>343</v>
      </c>
      <c r="B503" s="10" t="s">
        <v>448</v>
      </c>
      <c r="C503" s="10">
        <v>2514</v>
      </c>
      <c r="D503" s="10" t="s">
        <v>391</v>
      </c>
      <c r="E503" s="30">
        <v>41746</v>
      </c>
      <c r="F503" s="80" t="s">
        <v>367</v>
      </c>
    </row>
    <row r="504" spans="1:6" x14ac:dyDescent="0.3">
      <c r="A504" s="74" t="s">
        <v>343</v>
      </c>
      <c r="B504" s="10" t="s">
        <v>413</v>
      </c>
      <c r="C504" s="10">
        <v>2522</v>
      </c>
      <c r="D504" s="10" t="s">
        <v>345</v>
      </c>
      <c r="E504" s="30">
        <v>41814</v>
      </c>
      <c r="F504" s="80" t="s">
        <v>367</v>
      </c>
    </row>
    <row r="505" spans="1:6" x14ac:dyDescent="0.3">
      <c r="A505" s="74" t="s">
        <v>373</v>
      </c>
      <c r="B505" s="10" t="s">
        <v>435</v>
      </c>
      <c r="C505" s="10">
        <v>2524</v>
      </c>
      <c r="D505" s="10" t="s">
        <v>345</v>
      </c>
      <c r="E505" s="30">
        <v>41781</v>
      </c>
      <c r="F505" s="80" t="s">
        <v>367</v>
      </c>
    </row>
    <row r="506" spans="1:6" x14ac:dyDescent="0.3">
      <c r="A506" s="74" t="s">
        <v>370</v>
      </c>
      <c r="B506" s="10" t="s">
        <v>418</v>
      </c>
      <c r="C506" s="10">
        <v>2527</v>
      </c>
      <c r="D506" s="10" t="s">
        <v>391</v>
      </c>
      <c r="E506" s="30">
        <v>41916</v>
      </c>
      <c r="F506" s="80" t="s">
        <v>368</v>
      </c>
    </row>
    <row r="507" spans="1:6" x14ac:dyDescent="0.3">
      <c r="A507" s="74" t="s">
        <v>335</v>
      </c>
      <c r="B507" s="10" t="s">
        <v>436</v>
      </c>
      <c r="C507" s="10">
        <v>2528</v>
      </c>
      <c r="D507" s="10" t="s">
        <v>341</v>
      </c>
      <c r="E507" s="30">
        <v>42192</v>
      </c>
      <c r="F507" s="80" t="s">
        <v>369</v>
      </c>
    </row>
    <row r="508" spans="1:6" x14ac:dyDescent="0.3">
      <c r="A508" s="74" t="s">
        <v>376</v>
      </c>
      <c r="B508" s="10" t="s">
        <v>380</v>
      </c>
      <c r="C508" s="10">
        <v>2529</v>
      </c>
      <c r="D508" s="10" t="s">
        <v>334</v>
      </c>
      <c r="E508" s="30">
        <v>42137</v>
      </c>
      <c r="F508" s="80" t="s">
        <v>367</v>
      </c>
    </row>
    <row r="509" spans="1:6" x14ac:dyDescent="0.3">
      <c r="A509" s="74" t="s">
        <v>350</v>
      </c>
      <c r="B509" s="10" t="s">
        <v>394</v>
      </c>
      <c r="C509" s="10">
        <v>2532</v>
      </c>
      <c r="D509" s="10" t="s">
        <v>339</v>
      </c>
      <c r="E509" s="30">
        <v>41901</v>
      </c>
      <c r="F509" s="80" t="s">
        <v>369</v>
      </c>
    </row>
    <row r="510" spans="1:6" x14ac:dyDescent="0.3">
      <c r="A510" s="74" t="s">
        <v>376</v>
      </c>
      <c r="B510" s="10" t="s">
        <v>377</v>
      </c>
      <c r="C510" s="10">
        <v>2533</v>
      </c>
      <c r="D510" s="10" t="s">
        <v>341</v>
      </c>
      <c r="E510" s="30">
        <v>41776</v>
      </c>
      <c r="F510" s="80" t="s">
        <v>367</v>
      </c>
    </row>
    <row r="511" spans="1:6" x14ac:dyDescent="0.3">
      <c r="A511" s="74" t="s">
        <v>373</v>
      </c>
      <c r="B511" s="10" t="s">
        <v>428</v>
      </c>
      <c r="C511" s="10">
        <v>2544</v>
      </c>
      <c r="D511" s="10" t="s">
        <v>372</v>
      </c>
      <c r="E511" s="30">
        <v>42362</v>
      </c>
      <c r="F511" s="80" t="s">
        <v>368</v>
      </c>
    </row>
    <row r="512" spans="1:6" x14ac:dyDescent="0.3">
      <c r="A512" s="74" t="s">
        <v>335</v>
      </c>
      <c r="B512" s="10" t="s">
        <v>348</v>
      </c>
      <c r="C512" s="10">
        <v>2549</v>
      </c>
      <c r="D512" s="10" t="s">
        <v>339</v>
      </c>
      <c r="E512" s="30">
        <v>42356</v>
      </c>
      <c r="F512" s="80" t="s">
        <v>368</v>
      </c>
    </row>
    <row r="513" spans="1:6" x14ac:dyDescent="0.3">
      <c r="A513" s="74" t="s">
        <v>332</v>
      </c>
      <c r="B513" s="10" t="s">
        <v>333</v>
      </c>
      <c r="C513" s="10">
        <v>2552</v>
      </c>
      <c r="D513" s="10" t="s">
        <v>345</v>
      </c>
      <c r="E513" s="30">
        <v>42278</v>
      </c>
      <c r="F513" s="80" t="s">
        <v>368</v>
      </c>
    </row>
    <row r="514" spans="1:6" x14ac:dyDescent="0.3">
      <c r="A514" s="74" t="s">
        <v>332</v>
      </c>
      <c r="B514" s="10" t="s">
        <v>333</v>
      </c>
      <c r="C514" s="10">
        <v>2556</v>
      </c>
      <c r="D514" s="10" t="s">
        <v>339</v>
      </c>
      <c r="E514" s="30">
        <v>42150</v>
      </c>
      <c r="F514" s="80" t="s">
        <v>367</v>
      </c>
    </row>
    <row r="515" spans="1:6" x14ac:dyDescent="0.3">
      <c r="A515" s="74" t="s">
        <v>370</v>
      </c>
      <c r="B515" s="10" t="s">
        <v>387</v>
      </c>
      <c r="C515" s="10">
        <v>2558</v>
      </c>
      <c r="D515" s="10" t="s">
        <v>342</v>
      </c>
      <c r="E515" s="30">
        <v>41796</v>
      </c>
      <c r="F515" s="80" t="s">
        <v>367</v>
      </c>
    </row>
    <row r="516" spans="1:6" x14ac:dyDescent="0.3">
      <c r="A516" s="74" t="s">
        <v>350</v>
      </c>
      <c r="B516" s="10" t="s">
        <v>412</v>
      </c>
      <c r="C516" s="10">
        <v>2563</v>
      </c>
      <c r="D516" s="10" t="s">
        <v>339</v>
      </c>
      <c r="E516" s="30">
        <v>42271</v>
      </c>
      <c r="F516" s="80" t="s">
        <v>369</v>
      </c>
    </row>
    <row r="517" spans="1:6" x14ac:dyDescent="0.3">
      <c r="A517" s="74" t="s">
        <v>343</v>
      </c>
      <c r="B517" s="10" t="s">
        <v>378</v>
      </c>
      <c r="C517" s="10">
        <v>2566</v>
      </c>
      <c r="D517" s="10" t="s">
        <v>372</v>
      </c>
      <c r="E517" s="30">
        <v>42232</v>
      </c>
      <c r="F517" s="80" t="s">
        <v>369</v>
      </c>
    </row>
    <row r="518" spans="1:6" x14ac:dyDescent="0.3">
      <c r="A518" s="74" t="s">
        <v>370</v>
      </c>
      <c r="B518" s="10" t="s">
        <v>392</v>
      </c>
      <c r="C518" s="10">
        <v>2573</v>
      </c>
      <c r="D518" s="10" t="s">
        <v>337</v>
      </c>
      <c r="E518" s="30">
        <v>42134</v>
      </c>
      <c r="F518" s="80" t="s">
        <v>367</v>
      </c>
    </row>
    <row r="519" spans="1:6" x14ac:dyDescent="0.3">
      <c r="A519" s="74" t="s">
        <v>370</v>
      </c>
      <c r="B519" s="10" t="s">
        <v>392</v>
      </c>
      <c r="C519" s="10">
        <v>2574</v>
      </c>
      <c r="D519" s="10" t="s">
        <v>341</v>
      </c>
      <c r="E519" s="30">
        <v>41927</v>
      </c>
      <c r="F519" s="80" t="s">
        <v>368</v>
      </c>
    </row>
    <row r="520" spans="1:6" x14ac:dyDescent="0.3">
      <c r="A520" s="74" t="s">
        <v>332</v>
      </c>
      <c r="B520" s="10" t="s">
        <v>401</v>
      </c>
      <c r="C520" s="10">
        <v>2578</v>
      </c>
      <c r="D520" s="10" t="s">
        <v>342</v>
      </c>
      <c r="E520" s="30">
        <v>42171</v>
      </c>
      <c r="F520" s="80" t="s">
        <v>367</v>
      </c>
    </row>
    <row r="521" spans="1:6" x14ac:dyDescent="0.3">
      <c r="A521" s="74" t="s">
        <v>376</v>
      </c>
      <c r="B521" s="10" t="s">
        <v>409</v>
      </c>
      <c r="C521" s="10">
        <v>2586</v>
      </c>
      <c r="D521" s="10" t="s">
        <v>337</v>
      </c>
      <c r="E521" s="30">
        <v>41951</v>
      </c>
      <c r="F521" s="80" t="s">
        <v>368</v>
      </c>
    </row>
    <row r="522" spans="1:6" x14ac:dyDescent="0.3">
      <c r="A522" s="74" t="s">
        <v>370</v>
      </c>
      <c r="B522" s="10" t="s">
        <v>442</v>
      </c>
      <c r="C522" s="10">
        <v>2587</v>
      </c>
      <c r="D522" s="10" t="s">
        <v>349</v>
      </c>
      <c r="E522" s="30">
        <v>42160</v>
      </c>
      <c r="F522" s="80" t="s">
        <v>367</v>
      </c>
    </row>
    <row r="523" spans="1:6" x14ac:dyDescent="0.3">
      <c r="A523" s="74" t="s">
        <v>370</v>
      </c>
      <c r="B523" s="10" t="s">
        <v>447</v>
      </c>
      <c r="C523" s="10">
        <v>2589</v>
      </c>
      <c r="D523" s="10" t="s">
        <v>337</v>
      </c>
      <c r="E523" s="30">
        <v>42291</v>
      </c>
      <c r="F523" s="80" t="s">
        <v>368</v>
      </c>
    </row>
    <row r="524" spans="1:6" x14ac:dyDescent="0.3">
      <c r="A524" s="74" t="s">
        <v>350</v>
      </c>
      <c r="B524" s="10" t="s">
        <v>351</v>
      </c>
      <c r="C524" s="10">
        <v>2591</v>
      </c>
      <c r="D524" s="10" t="s">
        <v>345</v>
      </c>
      <c r="E524" s="30">
        <v>41740</v>
      </c>
      <c r="F524" s="80" t="s">
        <v>367</v>
      </c>
    </row>
    <row r="525" spans="1:6" x14ac:dyDescent="0.3">
      <c r="A525" s="74" t="s">
        <v>373</v>
      </c>
      <c r="B525" s="10" t="s">
        <v>437</v>
      </c>
      <c r="C525" s="10">
        <v>2603</v>
      </c>
      <c r="D525" s="10" t="s">
        <v>391</v>
      </c>
      <c r="E525" s="30">
        <v>42342</v>
      </c>
      <c r="F525" s="80" t="s">
        <v>368</v>
      </c>
    </row>
    <row r="526" spans="1:6" x14ac:dyDescent="0.3">
      <c r="A526" s="74" t="s">
        <v>332</v>
      </c>
      <c r="B526" s="10" t="s">
        <v>398</v>
      </c>
      <c r="C526" s="10">
        <v>2604</v>
      </c>
      <c r="D526" s="10" t="s">
        <v>342</v>
      </c>
      <c r="E526" s="30">
        <v>41967</v>
      </c>
      <c r="F526" s="80" t="s">
        <v>368</v>
      </c>
    </row>
    <row r="527" spans="1:6" x14ac:dyDescent="0.3">
      <c r="A527" s="74" t="s">
        <v>370</v>
      </c>
      <c r="B527" s="10" t="s">
        <v>389</v>
      </c>
      <c r="C527" s="10">
        <v>2606</v>
      </c>
      <c r="D527" s="10" t="s">
        <v>391</v>
      </c>
      <c r="E527" s="30">
        <v>41782</v>
      </c>
      <c r="F527" s="80" t="s">
        <v>367</v>
      </c>
    </row>
    <row r="528" spans="1:6" x14ac:dyDescent="0.3">
      <c r="A528" s="74" t="s">
        <v>335</v>
      </c>
      <c r="B528" s="10" t="s">
        <v>414</v>
      </c>
      <c r="C528" s="10">
        <v>2606</v>
      </c>
      <c r="D528" s="10" t="s">
        <v>341</v>
      </c>
      <c r="E528" s="30">
        <v>41874</v>
      </c>
      <c r="F528" s="80" t="s">
        <v>369</v>
      </c>
    </row>
    <row r="529" spans="1:6" x14ac:dyDescent="0.3">
      <c r="A529" s="74" t="s">
        <v>370</v>
      </c>
      <c r="B529" s="10" t="s">
        <v>418</v>
      </c>
      <c r="C529" s="10">
        <v>2612</v>
      </c>
      <c r="D529" s="10" t="s">
        <v>345</v>
      </c>
      <c r="E529" s="30">
        <v>41652</v>
      </c>
      <c r="F529" s="80" t="s">
        <v>366</v>
      </c>
    </row>
    <row r="530" spans="1:6" x14ac:dyDescent="0.3">
      <c r="A530" s="74" t="s">
        <v>332</v>
      </c>
      <c r="B530" s="10" t="s">
        <v>333</v>
      </c>
      <c r="C530" s="10">
        <v>2621</v>
      </c>
      <c r="D530" s="10" t="s">
        <v>342</v>
      </c>
      <c r="E530" s="30">
        <v>41923</v>
      </c>
      <c r="F530" s="80" t="s">
        <v>368</v>
      </c>
    </row>
    <row r="531" spans="1:6" x14ac:dyDescent="0.3">
      <c r="A531" s="74" t="s">
        <v>332</v>
      </c>
      <c r="B531" s="10" t="s">
        <v>379</v>
      </c>
      <c r="C531" s="10">
        <v>2623</v>
      </c>
      <c r="D531" s="10" t="s">
        <v>334</v>
      </c>
      <c r="E531" s="30">
        <v>42058</v>
      </c>
      <c r="F531" s="80" t="s">
        <v>366</v>
      </c>
    </row>
    <row r="532" spans="1:6" x14ac:dyDescent="0.3">
      <c r="A532" s="74" t="s">
        <v>373</v>
      </c>
      <c r="B532" s="10" t="s">
        <v>428</v>
      </c>
      <c r="C532" s="10">
        <v>2626</v>
      </c>
      <c r="D532" s="10" t="s">
        <v>382</v>
      </c>
      <c r="E532" s="30">
        <v>42208</v>
      </c>
      <c r="F532" s="80" t="s">
        <v>369</v>
      </c>
    </row>
    <row r="533" spans="1:6" x14ac:dyDescent="0.3">
      <c r="A533" s="74" t="s">
        <v>343</v>
      </c>
      <c r="B533" s="10" t="s">
        <v>378</v>
      </c>
      <c r="C533" s="10">
        <v>2629</v>
      </c>
      <c r="D533" s="10" t="s">
        <v>345</v>
      </c>
      <c r="E533" s="30">
        <v>41679</v>
      </c>
      <c r="F533" s="80" t="s">
        <v>366</v>
      </c>
    </row>
    <row r="534" spans="1:6" x14ac:dyDescent="0.3">
      <c r="A534" s="74" t="s">
        <v>343</v>
      </c>
      <c r="B534" s="10" t="s">
        <v>430</v>
      </c>
      <c r="C534" s="10">
        <v>2632</v>
      </c>
      <c r="D534" s="10" t="s">
        <v>391</v>
      </c>
      <c r="E534" s="30">
        <v>41971</v>
      </c>
      <c r="F534" s="80" t="s">
        <v>368</v>
      </c>
    </row>
    <row r="535" spans="1:6" x14ac:dyDescent="0.3">
      <c r="A535" s="74" t="s">
        <v>343</v>
      </c>
      <c r="B535" s="10" t="s">
        <v>410</v>
      </c>
      <c r="C535" s="10">
        <v>2632</v>
      </c>
      <c r="D535" s="10" t="s">
        <v>339</v>
      </c>
      <c r="E535" s="30">
        <v>42339</v>
      </c>
      <c r="F535" s="80" t="s">
        <v>368</v>
      </c>
    </row>
    <row r="536" spans="1:6" x14ac:dyDescent="0.3">
      <c r="A536" s="74" t="s">
        <v>343</v>
      </c>
      <c r="B536" s="10" t="s">
        <v>427</v>
      </c>
      <c r="C536" s="10">
        <v>2633</v>
      </c>
      <c r="D536" s="10" t="s">
        <v>342</v>
      </c>
      <c r="E536" s="30">
        <v>42137</v>
      </c>
      <c r="F536" s="80" t="s">
        <v>367</v>
      </c>
    </row>
    <row r="537" spans="1:6" x14ac:dyDescent="0.3">
      <c r="A537" s="74" t="s">
        <v>332</v>
      </c>
      <c r="B537" s="10" t="s">
        <v>434</v>
      </c>
      <c r="C537" s="10">
        <v>2638</v>
      </c>
      <c r="D537" s="10" t="s">
        <v>342</v>
      </c>
      <c r="E537" s="30">
        <v>41765</v>
      </c>
      <c r="F537" s="80" t="s">
        <v>367</v>
      </c>
    </row>
    <row r="538" spans="1:6" x14ac:dyDescent="0.3">
      <c r="A538" s="74" t="s">
        <v>373</v>
      </c>
      <c r="B538" s="10" t="s">
        <v>423</v>
      </c>
      <c r="C538" s="10">
        <v>2644</v>
      </c>
      <c r="D538" s="10" t="s">
        <v>382</v>
      </c>
      <c r="E538" s="30">
        <v>42166</v>
      </c>
      <c r="F538" s="80" t="s">
        <v>367</v>
      </c>
    </row>
    <row r="539" spans="1:6" x14ac:dyDescent="0.3">
      <c r="A539" s="74" t="s">
        <v>335</v>
      </c>
      <c r="B539" s="10" t="s">
        <v>415</v>
      </c>
      <c r="C539" s="10">
        <v>2645</v>
      </c>
      <c r="D539" s="10" t="s">
        <v>382</v>
      </c>
      <c r="E539" s="30">
        <v>41907</v>
      </c>
      <c r="F539" s="80" t="s">
        <v>369</v>
      </c>
    </row>
    <row r="540" spans="1:6" x14ac:dyDescent="0.3">
      <c r="A540" s="74" t="s">
        <v>383</v>
      </c>
      <c r="B540" s="10" t="s">
        <v>438</v>
      </c>
      <c r="C540" s="10">
        <v>2648</v>
      </c>
      <c r="D540" s="10" t="s">
        <v>382</v>
      </c>
      <c r="E540" s="30">
        <v>41998</v>
      </c>
      <c r="F540" s="80" t="s">
        <v>368</v>
      </c>
    </row>
    <row r="541" spans="1:6" x14ac:dyDescent="0.3">
      <c r="A541" s="74" t="s">
        <v>370</v>
      </c>
      <c r="B541" s="10" t="s">
        <v>392</v>
      </c>
      <c r="C541" s="10">
        <v>2650</v>
      </c>
      <c r="D541" s="10" t="s">
        <v>342</v>
      </c>
      <c r="E541" s="30">
        <v>41869</v>
      </c>
      <c r="F541" s="80" t="s">
        <v>369</v>
      </c>
    </row>
    <row r="542" spans="1:6" x14ac:dyDescent="0.3">
      <c r="A542" s="74" t="s">
        <v>376</v>
      </c>
      <c r="B542" s="10" t="s">
        <v>404</v>
      </c>
      <c r="C542" s="10">
        <v>2652</v>
      </c>
      <c r="D542" s="10" t="s">
        <v>391</v>
      </c>
      <c r="E542" s="30">
        <v>42017</v>
      </c>
      <c r="F542" s="80" t="s">
        <v>366</v>
      </c>
    </row>
    <row r="543" spans="1:6" x14ac:dyDescent="0.3">
      <c r="A543" s="74" t="s">
        <v>332</v>
      </c>
      <c r="B543" s="10" t="s">
        <v>346</v>
      </c>
      <c r="C543" s="10">
        <v>2652</v>
      </c>
      <c r="D543" s="10" t="s">
        <v>337</v>
      </c>
      <c r="E543" s="30">
        <v>41766</v>
      </c>
      <c r="F543" s="80" t="s">
        <v>367</v>
      </c>
    </row>
    <row r="544" spans="1:6" x14ac:dyDescent="0.3">
      <c r="A544" s="74" t="s">
        <v>350</v>
      </c>
      <c r="B544" s="10" t="s">
        <v>443</v>
      </c>
      <c r="C544" s="10">
        <v>2670</v>
      </c>
      <c r="D544" s="10" t="s">
        <v>337</v>
      </c>
      <c r="E544" s="30">
        <v>41810</v>
      </c>
      <c r="F544" s="80" t="s">
        <v>367</v>
      </c>
    </row>
    <row r="545" spans="1:6" x14ac:dyDescent="0.3">
      <c r="A545" s="74" t="s">
        <v>335</v>
      </c>
      <c r="B545" s="10" t="s">
        <v>393</v>
      </c>
      <c r="C545" s="10">
        <v>2674</v>
      </c>
      <c r="D545" s="10" t="s">
        <v>342</v>
      </c>
      <c r="E545" s="30">
        <v>41665</v>
      </c>
      <c r="F545" s="80" t="s">
        <v>366</v>
      </c>
    </row>
    <row r="546" spans="1:6" x14ac:dyDescent="0.3">
      <c r="A546" s="74" t="s">
        <v>370</v>
      </c>
      <c r="B546" s="10" t="s">
        <v>389</v>
      </c>
      <c r="C546" s="10">
        <v>2675</v>
      </c>
      <c r="D546" s="10" t="s">
        <v>372</v>
      </c>
      <c r="E546" s="30">
        <v>42043</v>
      </c>
      <c r="F546" s="80" t="s">
        <v>366</v>
      </c>
    </row>
    <row r="547" spans="1:6" x14ac:dyDescent="0.3">
      <c r="A547" s="74" t="s">
        <v>370</v>
      </c>
      <c r="B547" s="10" t="s">
        <v>389</v>
      </c>
      <c r="C547" s="10">
        <v>2685</v>
      </c>
      <c r="D547" s="10" t="s">
        <v>372</v>
      </c>
      <c r="E547" s="30">
        <v>42213</v>
      </c>
      <c r="F547" s="80" t="s">
        <v>369</v>
      </c>
    </row>
    <row r="548" spans="1:6" x14ac:dyDescent="0.3">
      <c r="A548" s="74" t="s">
        <v>343</v>
      </c>
      <c r="B548" s="10" t="s">
        <v>448</v>
      </c>
      <c r="C548" s="10">
        <v>2688</v>
      </c>
      <c r="D548" s="10" t="s">
        <v>382</v>
      </c>
      <c r="E548" s="30">
        <v>42202</v>
      </c>
      <c r="F548" s="80" t="s">
        <v>369</v>
      </c>
    </row>
    <row r="549" spans="1:6" x14ac:dyDescent="0.3">
      <c r="A549" s="74" t="s">
        <v>332</v>
      </c>
      <c r="B549" s="10" t="s">
        <v>434</v>
      </c>
      <c r="C549" s="10">
        <v>2689</v>
      </c>
      <c r="D549" s="10" t="s">
        <v>391</v>
      </c>
      <c r="E549" s="30">
        <v>42196</v>
      </c>
      <c r="F549" s="80" t="s">
        <v>369</v>
      </c>
    </row>
    <row r="550" spans="1:6" x14ac:dyDescent="0.3">
      <c r="A550" s="74" t="s">
        <v>332</v>
      </c>
      <c r="B550" s="10" t="s">
        <v>444</v>
      </c>
      <c r="C550" s="10">
        <v>2691</v>
      </c>
      <c r="D550" s="10" t="s">
        <v>391</v>
      </c>
      <c r="E550" s="30">
        <v>42165</v>
      </c>
      <c r="F550" s="80" t="s">
        <v>367</v>
      </c>
    </row>
    <row r="551" spans="1:6" x14ac:dyDescent="0.3">
      <c r="A551" s="74" t="s">
        <v>370</v>
      </c>
      <c r="B551" s="10" t="s">
        <v>422</v>
      </c>
      <c r="C551" s="10">
        <v>2691</v>
      </c>
      <c r="D551" s="10" t="s">
        <v>341</v>
      </c>
      <c r="E551" s="30">
        <v>41950</v>
      </c>
      <c r="F551" s="80" t="s">
        <v>368</v>
      </c>
    </row>
    <row r="552" spans="1:6" x14ac:dyDescent="0.3">
      <c r="A552" s="74" t="s">
        <v>373</v>
      </c>
      <c r="B552" s="10" t="s">
        <v>423</v>
      </c>
      <c r="C552" s="10">
        <v>2700</v>
      </c>
      <c r="D552" s="10" t="s">
        <v>349</v>
      </c>
      <c r="E552" s="30">
        <v>41925</v>
      </c>
      <c r="F552" s="80" t="s">
        <v>368</v>
      </c>
    </row>
    <row r="553" spans="1:6" x14ac:dyDescent="0.3">
      <c r="A553" s="74" t="s">
        <v>350</v>
      </c>
      <c r="B553" s="10" t="s">
        <v>416</v>
      </c>
      <c r="C553" s="10">
        <v>2702</v>
      </c>
      <c r="D553" s="10" t="s">
        <v>372</v>
      </c>
      <c r="E553" s="30">
        <v>41890</v>
      </c>
      <c r="F553" s="80" t="s">
        <v>369</v>
      </c>
    </row>
    <row r="554" spans="1:6" x14ac:dyDescent="0.3">
      <c r="A554" s="74" t="s">
        <v>373</v>
      </c>
      <c r="B554" s="10" t="s">
        <v>431</v>
      </c>
      <c r="C554" s="10">
        <v>2702</v>
      </c>
      <c r="D554" s="10" t="s">
        <v>391</v>
      </c>
      <c r="E554" s="30">
        <v>41951</v>
      </c>
      <c r="F554" s="80" t="s">
        <v>368</v>
      </c>
    </row>
    <row r="555" spans="1:6" x14ac:dyDescent="0.3">
      <c r="A555" s="74" t="s">
        <v>350</v>
      </c>
      <c r="B555" s="10" t="s">
        <v>443</v>
      </c>
      <c r="C555" s="10">
        <v>2705</v>
      </c>
      <c r="D555" s="10" t="s">
        <v>339</v>
      </c>
      <c r="E555" s="30">
        <v>42121</v>
      </c>
      <c r="F555" s="80" t="s">
        <v>367</v>
      </c>
    </row>
    <row r="556" spans="1:6" x14ac:dyDescent="0.3">
      <c r="A556" s="74" t="s">
        <v>350</v>
      </c>
      <c r="B556" s="10" t="s">
        <v>443</v>
      </c>
      <c r="C556" s="10">
        <v>2709</v>
      </c>
      <c r="D556" s="10" t="s">
        <v>349</v>
      </c>
      <c r="E556" s="30">
        <v>42339</v>
      </c>
      <c r="F556" s="80" t="s">
        <v>368</v>
      </c>
    </row>
    <row r="557" spans="1:6" x14ac:dyDescent="0.3">
      <c r="A557" s="74" t="s">
        <v>335</v>
      </c>
      <c r="B557" s="10" t="s">
        <v>403</v>
      </c>
      <c r="C557" s="10">
        <v>2710</v>
      </c>
      <c r="D557" s="10" t="s">
        <v>342</v>
      </c>
      <c r="E557" s="30">
        <v>41823</v>
      </c>
      <c r="F557" s="80" t="s">
        <v>369</v>
      </c>
    </row>
    <row r="558" spans="1:6" x14ac:dyDescent="0.3">
      <c r="A558" s="74" t="s">
        <v>332</v>
      </c>
      <c r="B558" s="10" t="s">
        <v>434</v>
      </c>
      <c r="C558" s="10">
        <v>2721</v>
      </c>
      <c r="D558" s="10" t="s">
        <v>342</v>
      </c>
      <c r="E558" s="30">
        <v>42266</v>
      </c>
      <c r="F558" s="80" t="s">
        <v>369</v>
      </c>
    </row>
    <row r="559" spans="1:6" x14ac:dyDescent="0.3">
      <c r="A559" s="74" t="s">
        <v>343</v>
      </c>
      <c r="B559" s="10" t="s">
        <v>441</v>
      </c>
      <c r="C559" s="10">
        <v>2723</v>
      </c>
      <c r="D559" s="10" t="s">
        <v>382</v>
      </c>
      <c r="E559" s="30">
        <v>41718</v>
      </c>
      <c r="F559" s="80" t="s">
        <v>366</v>
      </c>
    </row>
    <row r="560" spans="1:6" x14ac:dyDescent="0.3">
      <c r="A560" s="74" t="s">
        <v>332</v>
      </c>
      <c r="B560" s="10" t="s">
        <v>444</v>
      </c>
      <c r="C560" s="10">
        <v>2734</v>
      </c>
      <c r="D560" s="10" t="s">
        <v>341</v>
      </c>
      <c r="E560" s="30">
        <v>41782</v>
      </c>
      <c r="F560" s="80" t="s">
        <v>367</v>
      </c>
    </row>
    <row r="561" spans="1:6" x14ac:dyDescent="0.3">
      <c r="A561" s="74" t="s">
        <v>383</v>
      </c>
      <c r="B561" s="10" t="s">
        <v>399</v>
      </c>
      <c r="C561" s="10">
        <v>2738</v>
      </c>
      <c r="D561" s="10" t="s">
        <v>349</v>
      </c>
      <c r="E561" s="30">
        <v>42039</v>
      </c>
      <c r="F561" s="80" t="s">
        <v>366</v>
      </c>
    </row>
    <row r="562" spans="1:6" x14ac:dyDescent="0.3">
      <c r="A562" s="74" t="s">
        <v>332</v>
      </c>
      <c r="B562" s="10" t="s">
        <v>333</v>
      </c>
      <c r="C562" s="10">
        <v>2740</v>
      </c>
      <c r="D562" s="10" t="s">
        <v>339</v>
      </c>
      <c r="E562" s="30">
        <v>41966</v>
      </c>
      <c r="F562" s="80" t="s">
        <v>368</v>
      </c>
    </row>
    <row r="563" spans="1:6" x14ac:dyDescent="0.3">
      <c r="A563" s="74" t="s">
        <v>335</v>
      </c>
      <c r="B563" s="10" t="s">
        <v>338</v>
      </c>
      <c r="C563" s="10">
        <v>2740</v>
      </c>
      <c r="D563" s="10" t="s">
        <v>349</v>
      </c>
      <c r="E563" s="30">
        <v>42291</v>
      </c>
      <c r="F563" s="80" t="s">
        <v>368</v>
      </c>
    </row>
    <row r="564" spans="1:6" x14ac:dyDescent="0.3">
      <c r="A564" s="74" t="s">
        <v>383</v>
      </c>
      <c r="B564" s="10" t="s">
        <v>440</v>
      </c>
      <c r="C564" s="10">
        <v>2744</v>
      </c>
      <c r="D564" s="10" t="s">
        <v>391</v>
      </c>
      <c r="E564" s="30">
        <v>41812</v>
      </c>
      <c r="F564" s="80" t="s">
        <v>367</v>
      </c>
    </row>
    <row r="565" spans="1:6" x14ac:dyDescent="0.3">
      <c r="A565" s="74" t="s">
        <v>335</v>
      </c>
      <c r="B565" s="10" t="s">
        <v>436</v>
      </c>
      <c r="C565" s="10">
        <v>2748</v>
      </c>
      <c r="D565" s="10" t="s">
        <v>341</v>
      </c>
      <c r="E565" s="30">
        <v>42027</v>
      </c>
      <c r="F565" s="80" t="s">
        <v>366</v>
      </c>
    </row>
    <row r="566" spans="1:6" x14ac:dyDescent="0.3">
      <c r="A566" s="74" t="s">
        <v>350</v>
      </c>
      <c r="B566" s="10" t="s">
        <v>351</v>
      </c>
      <c r="C566" s="10">
        <v>2748</v>
      </c>
      <c r="D566" s="10" t="s">
        <v>339</v>
      </c>
      <c r="E566" s="30">
        <v>41838</v>
      </c>
      <c r="F566" s="80" t="s">
        <v>369</v>
      </c>
    </row>
    <row r="567" spans="1:6" x14ac:dyDescent="0.3">
      <c r="A567" s="74" t="s">
        <v>376</v>
      </c>
      <c r="B567" s="10" t="s">
        <v>380</v>
      </c>
      <c r="C567" s="10">
        <v>2750</v>
      </c>
      <c r="D567" s="10" t="s">
        <v>391</v>
      </c>
      <c r="E567" s="30">
        <v>41692</v>
      </c>
      <c r="F567" s="80" t="s">
        <v>366</v>
      </c>
    </row>
    <row r="568" spans="1:6" x14ac:dyDescent="0.3">
      <c r="A568" s="74" t="s">
        <v>370</v>
      </c>
      <c r="B568" s="10" t="s">
        <v>371</v>
      </c>
      <c r="C568" s="10">
        <v>2752</v>
      </c>
      <c r="D568" s="10" t="s">
        <v>337</v>
      </c>
      <c r="E568" s="30">
        <v>41753</v>
      </c>
      <c r="F568" s="80" t="s">
        <v>367</v>
      </c>
    </row>
    <row r="569" spans="1:6" x14ac:dyDescent="0.3">
      <c r="A569" s="74" t="s">
        <v>373</v>
      </c>
      <c r="B569" s="10" t="s">
        <v>435</v>
      </c>
      <c r="C569" s="10">
        <v>2754</v>
      </c>
      <c r="D569" s="10" t="s">
        <v>391</v>
      </c>
      <c r="E569" s="30">
        <v>42219</v>
      </c>
      <c r="F569" s="80" t="s">
        <v>369</v>
      </c>
    </row>
    <row r="570" spans="1:6" x14ac:dyDescent="0.3">
      <c r="A570" s="74" t="s">
        <v>373</v>
      </c>
      <c r="B570" s="10" t="s">
        <v>437</v>
      </c>
      <c r="C570" s="10">
        <v>2756</v>
      </c>
      <c r="D570" s="10" t="s">
        <v>382</v>
      </c>
      <c r="E570" s="30">
        <v>42058</v>
      </c>
      <c r="F570" s="80" t="s">
        <v>366</v>
      </c>
    </row>
    <row r="571" spans="1:6" x14ac:dyDescent="0.3">
      <c r="A571" s="74" t="s">
        <v>370</v>
      </c>
      <c r="B571" s="10" t="s">
        <v>389</v>
      </c>
      <c r="C571" s="10">
        <v>2759</v>
      </c>
      <c r="D571" s="10" t="s">
        <v>382</v>
      </c>
      <c r="E571" s="30">
        <v>41953</v>
      </c>
      <c r="F571" s="80" t="s">
        <v>368</v>
      </c>
    </row>
    <row r="572" spans="1:6" x14ac:dyDescent="0.3">
      <c r="A572" s="74" t="s">
        <v>373</v>
      </c>
      <c r="B572" s="10" t="s">
        <v>433</v>
      </c>
      <c r="C572" s="10">
        <v>2760</v>
      </c>
      <c r="D572" s="10" t="s">
        <v>391</v>
      </c>
      <c r="E572" s="30">
        <v>41732</v>
      </c>
      <c r="F572" s="80" t="s">
        <v>367</v>
      </c>
    </row>
    <row r="573" spans="1:6" x14ac:dyDescent="0.3">
      <c r="A573" s="74" t="s">
        <v>376</v>
      </c>
      <c r="B573" s="10" t="s">
        <v>377</v>
      </c>
      <c r="C573" s="10">
        <v>2761</v>
      </c>
      <c r="D573" s="10" t="s">
        <v>341</v>
      </c>
      <c r="E573" s="30">
        <v>42078</v>
      </c>
      <c r="F573" s="80" t="s">
        <v>366</v>
      </c>
    </row>
    <row r="574" spans="1:6" x14ac:dyDescent="0.3">
      <c r="A574" s="74" t="s">
        <v>332</v>
      </c>
      <c r="B574" s="10" t="s">
        <v>434</v>
      </c>
      <c r="C574" s="10">
        <v>2761</v>
      </c>
      <c r="D574" s="10" t="s">
        <v>391</v>
      </c>
      <c r="E574" s="30">
        <v>42321</v>
      </c>
      <c r="F574" s="80" t="s">
        <v>368</v>
      </c>
    </row>
    <row r="575" spans="1:6" x14ac:dyDescent="0.3">
      <c r="A575" s="74" t="s">
        <v>343</v>
      </c>
      <c r="B575" s="10" t="s">
        <v>427</v>
      </c>
      <c r="C575" s="10">
        <v>2762</v>
      </c>
      <c r="D575" s="10" t="s">
        <v>349</v>
      </c>
      <c r="E575" s="30">
        <v>42241</v>
      </c>
      <c r="F575" s="80" t="s">
        <v>369</v>
      </c>
    </row>
    <row r="576" spans="1:6" x14ac:dyDescent="0.3">
      <c r="A576" s="74" t="s">
        <v>343</v>
      </c>
      <c r="B576" s="10" t="s">
        <v>347</v>
      </c>
      <c r="C576" s="10">
        <v>2763</v>
      </c>
      <c r="D576" s="10" t="s">
        <v>345</v>
      </c>
      <c r="E576" s="30">
        <v>41839</v>
      </c>
      <c r="F576" s="80" t="s">
        <v>369</v>
      </c>
    </row>
    <row r="577" spans="1:6" x14ac:dyDescent="0.3">
      <c r="A577" s="74" t="s">
        <v>370</v>
      </c>
      <c r="B577" s="10" t="s">
        <v>385</v>
      </c>
      <c r="C577" s="10">
        <v>2764</v>
      </c>
      <c r="D577" s="10" t="s">
        <v>337</v>
      </c>
      <c r="E577" s="30">
        <v>41892</v>
      </c>
      <c r="F577" s="80" t="s">
        <v>369</v>
      </c>
    </row>
    <row r="578" spans="1:6" x14ac:dyDescent="0.3">
      <c r="A578" s="74" t="s">
        <v>370</v>
      </c>
      <c r="B578" s="10" t="s">
        <v>420</v>
      </c>
      <c r="C578" s="10">
        <v>2772</v>
      </c>
      <c r="D578" s="10" t="s">
        <v>334</v>
      </c>
      <c r="E578" s="30">
        <v>41749</v>
      </c>
      <c r="F578" s="80" t="s">
        <v>367</v>
      </c>
    </row>
    <row r="579" spans="1:6" x14ac:dyDescent="0.3">
      <c r="A579" s="74" t="s">
        <v>370</v>
      </c>
      <c r="B579" s="10" t="s">
        <v>392</v>
      </c>
      <c r="C579" s="10">
        <v>2777</v>
      </c>
      <c r="D579" s="10" t="s">
        <v>334</v>
      </c>
      <c r="E579" s="30">
        <v>41976</v>
      </c>
      <c r="F579" s="80" t="s">
        <v>368</v>
      </c>
    </row>
    <row r="580" spans="1:6" x14ac:dyDescent="0.3">
      <c r="A580" s="74" t="s">
        <v>343</v>
      </c>
      <c r="B580" s="10" t="s">
        <v>427</v>
      </c>
      <c r="C580" s="10">
        <v>2781</v>
      </c>
      <c r="D580" s="10" t="s">
        <v>345</v>
      </c>
      <c r="E580" s="30">
        <v>42212</v>
      </c>
      <c r="F580" s="80" t="s">
        <v>369</v>
      </c>
    </row>
    <row r="581" spans="1:6" x14ac:dyDescent="0.3">
      <c r="A581" s="74" t="s">
        <v>383</v>
      </c>
      <c r="B581" s="10" t="s">
        <v>399</v>
      </c>
      <c r="C581" s="10">
        <v>2783</v>
      </c>
      <c r="D581" s="10" t="s">
        <v>334</v>
      </c>
      <c r="E581" s="30">
        <v>42082</v>
      </c>
      <c r="F581" s="80" t="s">
        <v>366</v>
      </c>
    </row>
    <row r="582" spans="1:6" x14ac:dyDescent="0.3">
      <c r="A582" s="74" t="s">
        <v>343</v>
      </c>
      <c r="B582" s="10" t="s">
        <v>430</v>
      </c>
      <c r="C582" s="10">
        <v>2785</v>
      </c>
      <c r="D582" s="10" t="s">
        <v>341</v>
      </c>
      <c r="E582" s="30">
        <v>42024</v>
      </c>
      <c r="F582" s="80" t="s">
        <v>366</v>
      </c>
    </row>
    <row r="583" spans="1:6" x14ac:dyDescent="0.3">
      <c r="A583" s="74" t="s">
        <v>343</v>
      </c>
      <c r="B583" s="10" t="s">
        <v>347</v>
      </c>
      <c r="C583" s="10">
        <v>2796</v>
      </c>
      <c r="D583" s="10" t="s">
        <v>349</v>
      </c>
      <c r="E583" s="30">
        <v>41808</v>
      </c>
      <c r="F583" s="80" t="s">
        <v>367</v>
      </c>
    </row>
    <row r="584" spans="1:6" x14ac:dyDescent="0.3">
      <c r="A584" s="74" t="s">
        <v>332</v>
      </c>
      <c r="B584" s="10" t="s">
        <v>398</v>
      </c>
      <c r="C584" s="10">
        <v>2797</v>
      </c>
      <c r="D584" s="10" t="s">
        <v>345</v>
      </c>
      <c r="E584" s="30">
        <v>41761</v>
      </c>
      <c r="F584" s="80" t="s">
        <v>367</v>
      </c>
    </row>
    <row r="585" spans="1:6" x14ac:dyDescent="0.3">
      <c r="A585" s="74" t="s">
        <v>335</v>
      </c>
      <c r="B585" s="10" t="s">
        <v>393</v>
      </c>
      <c r="C585" s="10">
        <v>2801</v>
      </c>
      <c r="D585" s="10" t="s">
        <v>391</v>
      </c>
      <c r="E585" s="30">
        <v>42178</v>
      </c>
      <c r="F585" s="80" t="s">
        <v>367</v>
      </c>
    </row>
    <row r="586" spans="1:6" x14ac:dyDescent="0.3">
      <c r="A586" s="74" t="s">
        <v>350</v>
      </c>
      <c r="B586" s="10" t="s">
        <v>408</v>
      </c>
      <c r="C586" s="10">
        <v>2806</v>
      </c>
      <c r="D586" s="10" t="s">
        <v>372</v>
      </c>
      <c r="E586" s="30">
        <v>42042</v>
      </c>
      <c r="F586" s="80" t="s">
        <v>366</v>
      </c>
    </row>
    <row r="587" spans="1:6" x14ac:dyDescent="0.3">
      <c r="A587" s="74" t="s">
        <v>370</v>
      </c>
      <c r="B587" s="10" t="s">
        <v>397</v>
      </c>
      <c r="C587" s="10">
        <v>2818</v>
      </c>
      <c r="D587" s="10" t="s">
        <v>349</v>
      </c>
      <c r="E587" s="30">
        <v>41837</v>
      </c>
      <c r="F587" s="80" t="s">
        <v>369</v>
      </c>
    </row>
    <row r="588" spans="1:6" x14ac:dyDescent="0.3">
      <c r="A588" s="74" t="s">
        <v>376</v>
      </c>
      <c r="B588" s="10" t="s">
        <v>406</v>
      </c>
      <c r="C588" s="10">
        <v>2822</v>
      </c>
      <c r="D588" s="10" t="s">
        <v>349</v>
      </c>
      <c r="E588" s="30">
        <v>41857</v>
      </c>
      <c r="F588" s="80" t="s">
        <v>369</v>
      </c>
    </row>
    <row r="589" spans="1:6" x14ac:dyDescent="0.3">
      <c r="A589" s="74" t="s">
        <v>370</v>
      </c>
      <c r="B589" s="10" t="s">
        <v>395</v>
      </c>
      <c r="C589" s="10">
        <v>2824</v>
      </c>
      <c r="D589" s="10" t="s">
        <v>334</v>
      </c>
      <c r="E589" s="30">
        <v>42264</v>
      </c>
      <c r="F589" s="80" t="s">
        <v>369</v>
      </c>
    </row>
    <row r="590" spans="1:6" x14ac:dyDescent="0.3">
      <c r="A590" s="74" t="s">
        <v>376</v>
      </c>
      <c r="B590" s="10" t="s">
        <v>406</v>
      </c>
      <c r="C590" s="10">
        <v>2828</v>
      </c>
      <c r="D590" s="10" t="s">
        <v>391</v>
      </c>
      <c r="E590" s="30">
        <v>41872</v>
      </c>
      <c r="F590" s="80" t="s">
        <v>369</v>
      </c>
    </row>
    <row r="591" spans="1:6" x14ac:dyDescent="0.3">
      <c r="A591" s="74" t="s">
        <v>370</v>
      </c>
      <c r="B591" s="10" t="s">
        <v>418</v>
      </c>
      <c r="C591" s="10">
        <v>2845</v>
      </c>
      <c r="D591" s="10" t="s">
        <v>339</v>
      </c>
      <c r="E591" s="30">
        <v>42080</v>
      </c>
      <c r="F591" s="80" t="s">
        <v>366</v>
      </c>
    </row>
    <row r="592" spans="1:6" x14ac:dyDescent="0.3">
      <c r="A592" s="74" t="s">
        <v>373</v>
      </c>
      <c r="B592" s="10" t="s">
        <v>445</v>
      </c>
      <c r="C592" s="10">
        <v>2848</v>
      </c>
      <c r="D592" s="10" t="s">
        <v>342</v>
      </c>
      <c r="E592" s="30">
        <v>41918</v>
      </c>
      <c r="F592" s="80" t="s">
        <v>368</v>
      </c>
    </row>
    <row r="593" spans="1:6" x14ac:dyDescent="0.3">
      <c r="A593" s="74" t="s">
        <v>332</v>
      </c>
      <c r="B593" s="10" t="s">
        <v>340</v>
      </c>
      <c r="C593" s="10">
        <v>2849</v>
      </c>
      <c r="D593" s="10" t="s">
        <v>341</v>
      </c>
      <c r="E593" s="30">
        <v>41816</v>
      </c>
      <c r="F593" s="80" t="s">
        <v>367</v>
      </c>
    </row>
    <row r="594" spans="1:6" x14ac:dyDescent="0.3">
      <c r="A594" s="74" t="s">
        <v>370</v>
      </c>
      <c r="B594" s="10" t="s">
        <v>389</v>
      </c>
      <c r="C594" s="10">
        <v>2849</v>
      </c>
      <c r="D594" s="10" t="s">
        <v>341</v>
      </c>
      <c r="E594" s="30">
        <v>41918</v>
      </c>
      <c r="F594" s="80" t="s">
        <v>368</v>
      </c>
    </row>
    <row r="595" spans="1:6" x14ac:dyDescent="0.3">
      <c r="A595" s="74" t="s">
        <v>343</v>
      </c>
      <c r="B595" s="10" t="s">
        <v>347</v>
      </c>
      <c r="C595" s="10">
        <v>2853</v>
      </c>
      <c r="D595" s="10" t="s">
        <v>342</v>
      </c>
      <c r="E595" s="30">
        <v>41795</v>
      </c>
      <c r="F595" s="80" t="s">
        <v>367</v>
      </c>
    </row>
    <row r="596" spans="1:6" x14ac:dyDescent="0.3">
      <c r="A596" s="74" t="s">
        <v>383</v>
      </c>
      <c r="B596" s="10" t="s">
        <v>384</v>
      </c>
      <c r="C596" s="10">
        <v>2861</v>
      </c>
      <c r="D596" s="10" t="s">
        <v>372</v>
      </c>
      <c r="E596" s="30">
        <v>42259</v>
      </c>
      <c r="F596" s="80" t="s">
        <v>369</v>
      </c>
    </row>
    <row r="597" spans="1:6" x14ac:dyDescent="0.3">
      <c r="A597" s="74" t="s">
        <v>343</v>
      </c>
      <c r="B597" s="10" t="s">
        <v>344</v>
      </c>
      <c r="C597" s="10">
        <v>2869</v>
      </c>
      <c r="D597" s="10" t="s">
        <v>339</v>
      </c>
      <c r="E597" s="30">
        <v>42145</v>
      </c>
      <c r="F597" s="80" t="s">
        <v>367</v>
      </c>
    </row>
    <row r="598" spans="1:6" x14ac:dyDescent="0.3">
      <c r="A598" s="74" t="s">
        <v>373</v>
      </c>
      <c r="B598" s="10" t="s">
        <v>437</v>
      </c>
      <c r="C598" s="10">
        <v>2878</v>
      </c>
      <c r="D598" s="10" t="s">
        <v>337</v>
      </c>
      <c r="E598" s="30">
        <v>42208</v>
      </c>
      <c r="F598" s="80" t="s">
        <v>369</v>
      </c>
    </row>
    <row r="599" spans="1:6" x14ac:dyDescent="0.3">
      <c r="A599" s="74" t="s">
        <v>383</v>
      </c>
      <c r="B599" s="10" t="s">
        <v>399</v>
      </c>
      <c r="C599" s="10">
        <v>2889</v>
      </c>
      <c r="D599" s="10" t="s">
        <v>372</v>
      </c>
      <c r="E599" s="30">
        <v>41866</v>
      </c>
      <c r="F599" s="80" t="s">
        <v>369</v>
      </c>
    </row>
    <row r="600" spans="1:6" x14ac:dyDescent="0.3">
      <c r="A600" s="74" t="s">
        <v>343</v>
      </c>
      <c r="B600" s="10" t="s">
        <v>419</v>
      </c>
      <c r="C600" s="10">
        <v>2893</v>
      </c>
      <c r="D600" s="10" t="s">
        <v>334</v>
      </c>
      <c r="E600" s="30">
        <v>42115</v>
      </c>
      <c r="F600" s="80" t="s">
        <v>367</v>
      </c>
    </row>
    <row r="601" spans="1:6" x14ac:dyDescent="0.3">
      <c r="A601" s="74" t="s">
        <v>343</v>
      </c>
      <c r="B601" s="10" t="s">
        <v>386</v>
      </c>
      <c r="C601" s="10">
        <v>2895</v>
      </c>
      <c r="D601" s="10" t="s">
        <v>345</v>
      </c>
      <c r="E601" s="30">
        <v>41798</v>
      </c>
      <c r="F601" s="80" t="s">
        <v>367</v>
      </c>
    </row>
    <row r="602" spans="1:6" x14ac:dyDescent="0.3">
      <c r="A602" s="74" t="s">
        <v>343</v>
      </c>
      <c r="B602" s="10" t="s">
        <v>430</v>
      </c>
      <c r="C602" s="10">
        <v>2903</v>
      </c>
      <c r="D602" s="10" t="s">
        <v>349</v>
      </c>
      <c r="E602" s="30">
        <v>41915</v>
      </c>
      <c r="F602" s="80" t="s">
        <v>368</v>
      </c>
    </row>
    <row r="603" spans="1:6" x14ac:dyDescent="0.3">
      <c r="A603" s="74" t="s">
        <v>332</v>
      </c>
      <c r="B603" s="10" t="s">
        <v>434</v>
      </c>
      <c r="C603" s="10">
        <v>2908</v>
      </c>
      <c r="D603" s="10" t="s">
        <v>372</v>
      </c>
      <c r="E603" s="30">
        <v>42282</v>
      </c>
      <c r="F603" s="80" t="s">
        <v>368</v>
      </c>
    </row>
    <row r="604" spans="1:6" x14ac:dyDescent="0.3">
      <c r="A604" s="74" t="s">
        <v>373</v>
      </c>
      <c r="B604" s="10" t="s">
        <v>390</v>
      </c>
      <c r="C604" s="10">
        <v>2913</v>
      </c>
      <c r="D604" s="10" t="s">
        <v>342</v>
      </c>
      <c r="E604" s="30">
        <v>41832</v>
      </c>
      <c r="F604" s="80" t="s">
        <v>369</v>
      </c>
    </row>
    <row r="605" spans="1:6" x14ac:dyDescent="0.3">
      <c r="A605" s="74" t="s">
        <v>343</v>
      </c>
      <c r="B605" s="10" t="s">
        <v>427</v>
      </c>
      <c r="C605" s="10">
        <v>2919</v>
      </c>
      <c r="D605" s="10" t="s">
        <v>372</v>
      </c>
      <c r="E605" s="30">
        <v>41657</v>
      </c>
      <c r="F605" s="80" t="s">
        <v>366</v>
      </c>
    </row>
    <row r="606" spans="1:6" x14ac:dyDescent="0.3">
      <c r="A606" s="74" t="s">
        <v>370</v>
      </c>
      <c r="B606" s="10" t="s">
        <v>422</v>
      </c>
      <c r="C606" s="10">
        <v>2925</v>
      </c>
      <c r="D606" s="10" t="s">
        <v>382</v>
      </c>
      <c r="E606" s="30">
        <v>42161</v>
      </c>
      <c r="F606" s="80" t="s">
        <v>367</v>
      </c>
    </row>
    <row r="607" spans="1:6" x14ac:dyDescent="0.3">
      <c r="A607" s="74" t="s">
        <v>332</v>
      </c>
      <c r="B607" s="10" t="s">
        <v>407</v>
      </c>
      <c r="C607" s="10">
        <v>2931</v>
      </c>
      <c r="D607" s="10" t="s">
        <v>349</v>
      </c>
      <c r="E607" s="30">
        <v>41801</v>
      </c>
      <c r="F607" s="80" t="s">
        <v>367</v>
      </c>
    </row>
    <row r="608" spans="1:6" x14ac:dyDescent="0.3">
      <c r="A608" s="74" t="s">
        <v>370</v>
      </c>
      <c r="B608" s="10" t="s">
        <v>418</v>
      </c>
      <c r="C608" s="10">
        <v>2934</v>
      </c>
      <c r="D608" s="10" t="s">
        <v>349</v>
      </c>
      <c r="E608" s="30">
        <v>42347</v>
      </c>
      <c r="F608" s="80" t="s">
        <v>368</v>
      </c>
    </row>
    <row r="609" spans="1:6" x14ac:dyDescent="0.3">
      <c r="A609" s="74" t="s">
        <v>383</v>
      </c>
      <c r="B609" s="10" t="s">
        <v>411</v>
      </c>
      <c r="C609" s="10">
        <v>2936</v>
      </c>
      <c r="D609" s="10" t="s">
        <v>372</v>
      </c>
      <c r="E609" s="30">
        <v>42008</v>
      </c>
      <c r="F609" s="80" t="s">
        <v>366</v>
      </c>
    </row>
    <row r="610" spans="1:6" x14ac:dyDescent="0.3">
      <c r="A610" s="74" t="s">
        <v>350</v>
      </c>
      <c r="B610" s="10" t="s">
        <v>439</v>
      </c>
      <c r="C610" s="10">
        <v>2936</v>
      </c>
      <c r="D610" s="10" t="s">
        <v>382</v>
      </c>
      <c r="E610" s="30">
        <v>41761</v>
      </c>
      <c r="F610" s="80" t="s">
        <v>367</v>
      </c>
    </row>
    <row r="611" spans="1:6" x14ac:dyDescent="0.3">
      <c r="A611" s="74" t="s">
        <v>335</v>
      </c>
      <c r="B611" s="10" t="s">
        <v>338</v>
      </c>
      <c r="C611" s="10">
        <v>2938</v>
      </c>
      <c r="D611" s="10" t="s">
        <v>339</v>
      </c>
      <c r="E611" s="30">
        <v>42027</v>
      </c>
      <c r="F611" s="80" t="s">
        <v>366</v>
      </c>
    </row>
    <row r="612" spans="1:6" x14ac:dyDescent="0.3">
      <c r="A612" s="74" t="s">
        <v>335</v>
      </c>
      <c r="B612" s="10" t="s">
        <v>403</v>
      </c>
      <c r="C612" s="10">
        <v>2938</v>
      </c>
      <c r="D612" s="10" t="s">
        <v>391</v>
      </c>
      <c r="E612" s="30">
        <v>42230</v>
      </c>
      <c r="F612" s="80" t="s">
        <v>369</v>
      </c>
    </row>
    <row r="613" spans="1:6" x14ac:dyDescent="0.3">
      <c r="A613" s="74" t="s">
        <v>370</v>
      </c>
      <c r="B613" s="10" t="s">
        <v>447</v>
      </c>
      <c r="C613" s="10">
        <v>2941</v>
      </c>
      <c r="D613" s="10" t="s">
        <v>391</v>
      </c>
      <c r="E613" s="30">
        <v>41975</v>
      </c>
      <c r="F613" s="80" t="s">
        <v>368</v>
      </c>
    </row>
    <row r="614" spans="1:6" x14ac:dyDescent="0.3">
      <c r="A614" s="74" t="s">
        <v>373</v>
      </c>
      <c r="B614" s="10" t="s">
        <v>375</v>
      </c>
      <c r="C614" s="10">
        <v>2943</v>
      </c>
      <c r="D614" s="10" t="s">
        <v>337</v>
      </c>
      <c r="E614" s="30">
        <v>42160</v>
      </c>
      <c r="F614" s="80" t="s">
        <v>367</v>
      </c>
    </row>
    <row r="615" spans="1:6" x14ac:dyDescent="0.3">
      <c r="A615" s="74" t="s">
        <v>350</v>
      </c>
      <c r="B615" s="10" t="s">
        <v>394</v>
      </c>
      <c r="C615" s="10">
        <v>2945</v>
      </c>
      <c r="D615" s="10" t="s">
        <v>349</v>
      </c>
      <c r="E615" s="30">
        <v>41699</v>
      </c>
      <c r="F615" s="80" t="s">
        <v>366</v>
      </c>
    </row>
    <row r="616" spans="1:6" x14ac:dyDescent="0.3">
      <c r="A616" s="74" t="s">
        <v>373</v>
      </c>
      <c r="B616" s="10" t="s">
        <v>437</v>
      </c>
      <c r="C616" s="10">
        <v>2946</v>
      </c>
      <c r="D616" s="10" t="s">
        <v>342</v>
      </c>
      <c r="E616" s="30">
        <v>41951</v>
      </c>
      <c r="F616" s="80" t="s">
        <v>368</v>
      </c>
    </row>
    <row r="617" spans="1:6" x14ac:dyDescent="0.3">
      <c r="A617" s="74" t="s">
        <v>370</v>
      </c>
      <c r="B617" s="10" t="s">
        <v>402</v>
      </c>
      <c r="C617" s="10">
        <v>2957</v>
      </c>
      <c r="D617" s="10" t="s">
        <v>339</v>
      </c>
      <c r="E617" s="30">
        <v>41671</v>
      </c>
      <c r="F617" s="80" t="s">
        <v>366</v>
      </c>
    </row>
    <row r="618" spans="1:6" x14ac:dyDescent="0.3">
      <c r="A618" s="74" t="s">
        <v>376</v>
      </c>
      <c r="B618" s="10" t="s">
        <v>377</v>
      </c>
      <c r="C618" s="10">
        <v>2961</v>
      </c>
      <c r="D618" s="10" t="s">
        <v>334</v>
      </c>
      <c r="E618" s="30">
        <v>42230</v>
      </c>
      <c r="F618" s="80" t="s">
        <v>369</v>
      </c>
    </row>
    <row r="619" spans="1:6" x14ac:dyDescent="0.3">
      <c r="A619" s="74" t="s">
        <v>343</v>
      </c>
      <c r="B619" s="10" t="s">
        <v>410</v>
      </c>
      <c r="C619" s="10">
        <v>2963</v>
      </c>
      <c r="D619" s="10" t="s">
        <v>337</v>
      </c>
      <c r="E619" s="30">
        <v>42106</v>
      </c>
      <c r="F619" s="80" t="s">
        <v>367</v>
      </c>
    </row>
    <row r="620" spans="1:6" x14ac:dyDescent="0.3">
      <c r="A620" s="74" t="s">
        <v>370</v>
      </c>
      <c r="B620" s="10" t="s">
        <v>371</v>
      </c>
      <c r="C620" s="10">
        <v>2966</v>
      </c>
      <c r="D620" s="10" t="s">
        <v>345</v>
      </c>
      <c r="E620" s="30">
        <v>42188</v>
      </c>
      <c r="F620" s="80" t="s">
        <v>369</v>
      </c>
    </row>
    <row r="621" spans="1:6" x14ac:dyDescent="0.3">
      <c r="A621" s="74" t="s">
        <v>343</v>
      </c>
      <c r="B621" s="10" t="s">
        <v>396</v>
      </c>
      <c r="C621" s="10">
        <v>2966</v>
      </c>
      <c r="D621" s="10" t="s">
        <v>372</v>
      </c>
      <c r="E621" s="30">
        <v>42207</v>
      </c>
      <c r="F621" s="80" t="s">
        <v>369</v>
      </c>
    </row>
    <row r="622" spans="1:6" x14ac:dyDescent="0.3">
      <c r="A622" s="74" t="s">
        <v>370</v>
      </c>
      <c r="B622" s="10" t="s">
        <v>447</v>
      </c>
      <c r="C622" s="10">
        <v>2976</v>
      </c>
      <c r="D622" s="10" t="s">
        <v>334</v>
      </c>
      <c r="E622" s="30">
        <v>42281</v>
      </c>
      <c r="F622" s="80" t="s">
        <v>368</v>
      </c>
    </row>
    <row r="623" spans="1:6" x14ac:dyDescent="0.3">
      <c r="A623" s="74" t="s">
        <v>335</v>
      </c>
      <c r="B623" s="10" t="s">
        <v>405</v>
      </c>
      <c r="C623" s="10">
        <v>2978</v>
      </c>
      <c r="D623" s="10" t="s">
        <v>345</v>
      </c>
      <c r="E623" s="30">
        <v>41661</v>
      </c>
      <c r="F623" s="80" t="s">
        <v>366</v>
      </c>
    </row>
    <row r="624" spans="1:6" x14ac:dyDescent="0.3">
      <c r="A624" s="74" t="s">
        <v>343</v>
      </c>
      <c r="B624" s="10" t="s">
        <v>441</v>
      </c>
      <c r="C624" s="10">
        <v>2978</v>
      </c>
      <c r="D624" s="10" t="s">
        <v>349</v>
      </c>
      <c r="E624" s="30">
        <v>42326</v>
      </c>
      <c r="F624" s="80" t="s">
        <v>368</v>
      </c>
    </row>
    <row r="625" spans="1:6" x14ac:dyDescent="0.3">
      <c r="A625" s="74" t="s">
        <v>370</v>
      </c>
      <c r="B625" s="10" t="s">
        <v>420</v>
      </c>
      <c r="C625" s="10">
        <v>2981</v>
      </c>
      <c r="D625" s="10" t="s">
        <v>372</v>
      </c>
      <c r="E625" s="30">
        <v>42357</v>
      </c>
      <c r="F625" s="80" t="s">
        <v>368</v>
      </c>
    </row>
    <row r="626" spans="1:6" x14ac:dyDescent="0.3">
      <c r="A626" s="74" t="s">
        <v>350</v>
      </c>
      <c r="B626" s="10" t="s">
        <v>439</v>
      </c>
      <c r="C626" s="10">
        <v>2983</v>
      </c>
      <c r="D626" s="10" t="s">
        <v>334</v>
      </c>
      <c r="E626" s="30">
        <v>41748</v>
      </c>
      <c r="F626" s="80" t="s">
        <v>367</v>
      </c>
    </row>
    <row r="627" spans="1:6" x14ac:dyDescent="0.3">
      <c r="A627" s="74" t="s">
        <v>335</v>
      </c>
      <c r="B627" s="10" t="s">
        <v>436</v>
      </c>
      <c r="C627" s="10">
        <v>2995</v>
      </c>
      <c r="D627" s="10" t="s">
        <v>391</v>
      </c>
      <c r="E627" s="30">
        <v>41980</v>
      </c>
      <c r="F627" s="80" t="s">
        <v>368</v>
      </c>
    </row>
    <row r="628" spans="1:6" x14ac:dyDescent="0.3">
      <c r="A628" s="74" t="s">
        <v>370</v>
      </c>
      <c r="B628" s="10" t="s">
        <v>402</v>
      </c>
      <c r="C628" s="10">
        <v>2996</v>
      </c>
      <c r="D628" s="10" t="s">
        <v>341</v>
      </c>
      <c r="E628" s="30">
        <v>42157</v>
      </c>
      <c r="F628" s="80" t="s">
        <v>367</v>
      </c>
    </row>
    <row r="629" spans="1:6" x14ac:dyDescent="0.3">
      <c r="A629" s="74" t="s">
        <v>370</v>
      </c>
      <c r="B629" s="10" t="s">
        <v>395</v>
      </c>
      <c r="C629" s="10">
        <v>2996</v>
      </c>
      <c r="D629" s="10" t="s">
        <v>382</v>
      </c>
      <c r="E629" s="30">
        <v>42096</v>
      </c>
      <c r="F629" s="80" t="s">
        <v>367</v>
      </c>
    </row>
    <row r="630" spans="1:6" x14ac:dyDescent="0.3">
      <c r="A630" s="74" t="s">
        <v>370</v>
      </c>
      <c r="B630" s="10" t="s">
        <v>442</v>
      </c>
      <c r="C630" s="10">
        <v>3001</v>
      </c>
      <c r="D630" s="10" t="s">
        <v>349</v>
      </c>
      <c r="E630" s="30">
        <v>42175</v>
      </c>
      <c r="F630" s="80" t="s">
        <v>367</v>
      </c>
    </row>
    <row r="631" spans="1:6" x14ac:dyDescent="0.3">
      <c r="A631" s="74" t="s">
        <v>343</v>
      </c>
      <c r="B631" s="10" t="s">
        <v>413</v>
      </c>
      <c r="C631" s="10">
        <v>3004</v>
      </c>
      <c r="D631" s="10" t="s">
        <v>341</v>
      </c>
      <c r="E631" s="30">
        <v>42266</v>
      </c>
      <c r="F631" s="80" t="s">
        <v>369</v>
      </c>
    </row>
    <row r="632" spans="1:6" x14ac:dyDescent="0.3">
      <c r="A632" s="74" t="s">
        <v>350</v>
      </c>
      <c r="B632" s="10" t="s">
        <v>394</v>
      </c>
      <c r="C632" s="10">
        <v>3005</v>
      </c>
      <c r="D632" s="10" t="s">
        <v>337</v>
      </c>
      <c r="E632" s="30">
        <v>42325</v>
      </c>
      <c r="F632" s="80" t="s">
        <v>368</v>
      </c>
    </row>
    <row r="633" spans="1:6" x14ac:dyDescent="0.3">
      <c r="A633" s="74" t="s">
        <v>373</v>
      </c>
      <c r="B633" s="10" t="s">
        <v>423</v>
      </c>
      <c r="C633" s="10">
        <v>3009</v>
      </c>
      <c r="D633" s="10" t="s">
        <v>372</v>
      </c>
      <c r="E633" s="30">
        <v>41713</v>
      </c>
      <c r="F633" s="80" t="s">
        <v>366</v>
      </c>
    </row>
    <row r="634" spans="1:6" x14ac:dyDescent="0.3">
      <c r="A634" s="74" t="s">
        <v>332</v>
      </c>
      <c r="B634" s="10" t="s">
        <v>333</v>
      </c>
      <c r="C634" s="10">
        <v>3009</v>
      </c>
      <c r="D634" s="10" t="s">
        <v>349</v>
      </c>
      <c r="E634" s="30">
        <v>41817</v>
      </c>
      <c r="F634" s="80" t="s">
        <v>367</v>
      </c>
    </row>
    <row r="635" spans="1:6" x14ac:dyDescent="0.3">
      <c r="A635" s="74" t="s">
        <v>370</v>
      </c>
      <c r="B635" s="10" t="s">
        <v>385</v>
      </c>
      <c r="C635" s="10">
        <v>3020</v>
      </c>
      <c r="D635" s="10" t="s">
        <v>391</v>
      </c>
      <c r="E635" s="30">
        <v>42346</v>
      </c>
      <c r="F635" s="80" t="s">
        <v>368</v>
      </c>
    </row>
    <row r="636" spans="1:6" x14ac:dyDescent="0.3">
      <c r="A636" s="74" t="s">
        <v>343</v>
      </c>
      <c r="B636" s="10" t="s">
        <v>413</v>
      </c>
      <c r="C636" s="10">
        <v>3033</v>
      </c>
      <c r="D636" s="10" t="s">
        <v>334</v>
      </c>
      <c r="E636" s="30">
        <v>41874</v>
      </c>
      <c r="F636" s="80" t="s">
        <v>369</v>
      </c>
    </row>
    <row r="637" spans="1:6" x14ac:dyDescent="0.3">
      <c r="A637" s="74" t="s">
        <v>373</v>
      </c>
      <c r="B637" s="10" t="s">
        <v>431</v>
      </c>
      <c r="C637" s="10">
        <v>3043</v>
      </c>
      <c r="D637" s="10" t="s">
        <v>337</v>
      </c>
      <c r="E637" s="30">
        <v>41697</v>
      </c>
      <c r="F637" s="80" t="s">
        <v>366</v>
      </c>
    </row>
    <row r="638" spans="1:6" x14ac:dyDescent="0.3">
      <c r="A638" s="74" t="s">
        <v>376</v>
      </c>
      <c r="B638" s="10" t="s">
        <v>409</v>
      </c>
      <c r="C638" s="10">
        <v>3044</v>
      </c>
      <c r="D638" s="10" t="s">
        <v>345</v>
      </c>
      <c r="E638" s="30">
        <v>42016</v>
      </c>
      <c r="F638" s="80" t="s">
        <v>366</v>
      </c>
    </row>
    <row r="639" spans="1:6" x14ac:dyDescent="0.3">
      <c r="A639" s="74" t="s">
        <v>370</v>
      </c>
      <c r="B639" s="10" t="s">
        <v>389</v>
      </c>
      <c r="C639" s="10">
        <v>3044</v>
      </c>
      <c r="D639" s="10" t="s">
        <v>334</v>
      </c>
      <c r="E639" s="30">
        <v>41951</v>
      </c>
      <c r="F639" s="80" t="s">
        <v>368</v>
      </c>
    </row>
    <row r="640" spans="1:6" x14ac:dyDescent="0.3">
      <c r="A640" s="74" t="s">
        <v>373</v>
      </c>
      <c r="B640" s="10" t="s">
        <v>375</v>
      </c>
      <c r="C640" s="10">
        <v>3046</v>
      </c>
      <c r="D640" s="10" t="s">
        <v>334</v>
      </c>
      <c r="E640" s="30">
        <v>42055</v>
      </c>
      <c r="F640" s="80" t="s">
        <v>366</v>
      </c>
    </row>
    <row r="641" spans="1:6" x14ac:dyDescent="0.3">
      <c r="A641" s="74" t="s">
        <v>343</v>
      </c>
      <c r="B641" s="10" t="s">
        <v>432</v>
      </c>
      <c r="C641" s="10">
        <v>3049</v>
      </c>
      <c r="D641" s="10" t="s">
        <v>339</v>
      </c>
      <c r="E641" s="30">
        <v>41927</v>
      </c>
      <c r="F641" s="80" t="s">
        <v>368</v>
      </c>
    </row>
    <row r="642" spans="1:6" x14ac:dyDescent="0.3">
      <c r="A642" s="74" t="s">
        <v>335</v>
      </c>
      <c r="B642" s="10" t="s">
        <v>338</v>
      </c>
      <c r="C642" s="10">
        <v>3049</v>
      </c>
      <c r="D642" s="10" t="s">
        <v>334</v>
      </c>
      <c r="E642" s="30">
        <v>42356</v>
      </c>
      <c r="F642" s="80" t="s">
        <v>368</v>
      </c>
    </row>
    <row r="643" spans="1:6" x14ac:dyDescent="0.3">
      <c r="A643" s="74" t="s">
        <v>343</v>
      </c>
      <c r="B643" s="10" t="s">
        <v>344</v>
      </c>
      <c r="C643" s="10">
        <v>3051</v>
      </c>
      <c r="D643" s="10" t="s">
        <v>349</v>
      </c>
      <c r="E643" s="30">
        <v>41854</v>
      </c>
      <c r="F643" s="80" t="s">
        <v>369</v>
      </c>
    </row>
    <row r="644" spans="1:6" x14ac:dyDescent="0.3">
      <c r="A644" s="74" t="s">
        <v>370</v>
      </c>
      <c r="B644" s="10" t="s">
        <v>387</v>
      </c>
      <c r="C644" s="10">
        <v>3060</v>
      </c>
      <c r="D644" s="10" t="s">
        <v>372</v>
      </c>
      <c r="E644" s="30">
        <v>41667</v>
      </c>
      <c r="F644" s="80" t="s">
        <v>366</v>
      </c>
    </row>
    <row r="645" spans="1:6" x14ac:dyDescent="0.3">
      <c r="A645" s="74" t="s">
        <v>332</v>
      </c>
      <c r="B645" s="10" t="s">
        <v>346</v>
      </c>
      <c r="C645" s="10">
        <v>3064</v>
      </c>
      <c r="D645" s="10" t="s">
        <v>372</v>
      </c>
      <c r="E645" s="30">
        <v>42241</v>
      </c>
      <c r="F645" s="80" t="s">
        <v>369</v>
      </c>
    </row>
    <row r="646" spans="1:6" x14ac:dyDescent="0.3">
      <c r="A646" s="74" t="s">
        <v>343</v>
      </c>
      <c r="B646" s="10" t="s">
        <v>441</v>
      </c>
      <c r="C646" s="10">
        <v>3068</v>
      </c>
      <c r="D646" s="10" t="s">
        <v>372</v>
      </c>
      <c r="E646" s="30">
        <v>41816</v>
      </c>
      <c r="F646" s="80" t="s">
        <v>367</v>
      </c>
    </row>
    <row r="647" spans="1:6" x14ac:dyDescent="0.3">
      <c r="A647" s="74" t="s">
        <v>370</v>
      </c>
      <c r="B647" s="10" t="s">
        <v>420</v>
      </c>
      <c r="C647" s="10">
        <v>3068</v>
      </c>
      <c r="D647" s="10" t="s">
        <v>341</v>
      </c>
      <c r="E647" s="30">
        <v>42204</v>
      </c>
      <c r="F647" s="80" t="s">
        <v>369</v>
      </c>
    </row>
    <row r="648" spans="1:6" x14ac:dyDescent="0.3">
      <c r="A648" s="74" t="s">
        <v>350</v>
      </c>
      <c r="B648" s="10" t="s">
        <v>439</v>
      </c>
      <c r="C648" s="10">
        <v>3074</v>
      </c>
      <c r="D648" s="10" t="s">
        <v>349</v>
      </c>
      <c r="E648" s="30">
        <v>42217</v>
      </c>
      <c r="F648" s="80" t="s">
        <v>369</v>
      </c>
    </row>
    <row r="649" spans="1:6" x14ac:dyDescent="0.3">
      <c r="A649" s="74" t="s">
        <v>343</v>
      </c>
      <c r="B649" s="10" t="s">
        <v>396</v>
      </c>
      <c r="C649" s="10">
        <v>3075</v>
      </c>
      <c r="D649" s="10" t="s">
        <v>349</v>
      </c>
      <c r="E649" s="30">
        <v>41934</v>
      </c>
      <c r="F649" s="80" t="s">
        <v>368</v>
      </c>
    </row>
    <row r="650" spans="1:6" x14ac:dyDescent="0.3">
      <c r="A650" s="74" t="s">
        <v>332</v>
      </c>
      <c r="B650" s="10" t="s">
        <v>434</v>
      </c>
      <c r="C650" s="10">
        <v>3079</v>
      </c>
      <c r="D650" s="10" t="s">
        <v>341</v>
      </c>
      <c r="E650" s="30">
        <v>42297</v>
      </c>
      <c r="F650" s="80" t="s">
        <v>368</v>
      </c>
    </row>
    <row r="651" spans="1:6" x14ac:dyDescent="0.3">
      <c r="A651" s="74" t="s">
        <v>373</v>
      </c>
      <c r="B651" s="10" t="s">
        <v>374</v>
      </c>
      <c r="C651" s="10">
        <v>3086</v>
      </c>
      <c r="D651" s="10" t="s">
        <v>372</v>
      </c>
      <c r="E651" s="30">
        <v>42072</v>
      </c>
      <c r="F651" s="80" t="s">
        <v>366</v>
      </c>
    </row>
    <row r="652" spans="1:6" x14ac:dyDescent="0.3">
      <c r="A652" s="74" t="s">
        <v>350</v>
      </c>
      <c r="B652" s="10" t="s">
        <v>439</v>
      </c>
      <c r="C652" s="10">
        <v>3086</v>
      </c>
      <c r="D652" s="10" t="s">
        <v>337</v>
      </c>
      <c r="E652" s="30">
        <v>41777</v>
      </c>
      <c r="F652" s="80" t="s">
        <v>367</v>
      </c>
    </row>
    <row r="653" spans="1:6" x14ac:dyDescent="0.3">
      <c r="A653" s="74" t="s">
        <v>350</v>
      </c>
      <c r="B653" s="10" t="s">
        <v>394</v>
      </c>
      <c r="C653" s="10">
        <v>3089</v>
      </c>
      <c r="D653" s="10" t="s">
        <v>342</v>
      </c>
      <c r="E653" s="30">
        <v>42273</v>
      </c>
      <c r="F653" s="80" t="s">
        <v>369</v>
      </c>
    </row>
    <row r="654" spans="1:6" x14ac:dyDescent="0.3">
      <c r="A654" s="74" t="s">
        <v>335</v>
      </c>
      <c r="B654" s="10" t="s">
        <v>393</v>
      </c>
      <c r="C654" s="10">
        <v>3090</v>
      </c>
      <c r="D654" s="10" t="s">
        <v>345</v>
      </c>
      <c r="E654" s="30">
        <v>42120</v>
      </c>
      <c r="F654" s="80" t="s">
        <v>367</v>
      </c>
    </row>
    <row r="655" spans="1:6" x14ac:dyDescent="0.3">
      <c r="A655" s="74" t="s">
        <v>343</v>
      </c>
      <c r="B655" s="10" t="s">
        <v>347</v>
      </c>
      <c r="C655" s="10">
        <v>3094</v>
      </c>
      <c r="D655" s="10" t="s">
        <v>345</v>
      </c>
      <c r="E655" s="30">
        <v>42011</v>
      </c>
      <c r="F655" s="80" t="s">
        <v>366</v>
      </c>
    </row>
    <row r="656" spans="1:6" x14ac:dyDescent="0.3">
      <c r="A656" s="74" t="s">
        <v>376</v>
      </c>
      <c r="B656" s="10" t="s">
        <v>380</v>
      </c>
      <c r="C656" s="10">
        <v>3095</v>
      </c>
      <c r="D656" s="10" t="s">
        <v>339</v>
      </c>
      <c r="E656" s="30">
        <v>41733</v>
      </c>
      <c r="F656" s="80" t="s">
        <v>367</v>
      </c>
    </row>
    <row r="657" spans="1:6" x14ac:dyDescent="0.3">
      <c r="A657" s="74" t="s">
        <v>335</v>
      </c>
      <c r="B657" s="10" t="s">
        <v>338</v>
      </c>
      <c r="C657" s="10">
        <v>3095</v>
      </c>
      <c r="D657" s="10" t="s">
        <v>345</v>
      </c>
      <c r="E657" s="30">
        <v>41931</v>
      </c>
      <c r="F657" s="80" t="s">
        <v>368</v>
      </c>
    </row>
    <row r="658" spans="1:6" x14ac:dyDescent="0.3">
      <c r="A658" s="74" t="s">
        <v>335</v>
      </c>
      <c r="B658" s="10" t="s">
        <v>415</v>
      </c>
      <c r="C658" s="10">
        <v>3098</v>
      </c>
      <c r="D658" s="10" t="s">
        <v>345</v>
      </c>
      <c r="E658" s="30">
        <v>42075</v>
      </c>
      <c r="F658" s="80" t="s">
        <v>366</v>
      </c>
    </row>
    <row r="659" spans="1:6" x14ac:dyDescent="0.3">
      <c r="A659" s="74" t="s">
        <v>350</v>
      </c>
      <c r="B659" s="10" t="s">
        <v>408</v>
      </c>
      <c r="C659" s="10">
        <v>3104</v>
      </c>
      <c r="D659" s="10" t="s">
        <v>349</v>
      </c>
      <c r="E659" s="30">
        <v>41894</v>
      </c>
      <c r="F659" s="80" t="s">
        <v>369</v>
      </c>
    </row>
    <row r="660" spans="1:6" x14ac:dyDescent="0.3">
      <c r="A660" s="74" t="s">
        <v>350</v>
      </c>
      <c r="B660" s="10" t="s">
        <v>446</v>
      </c>
      <c r="C660" s="10">
        <v>3105</v>
      </c>
      <c r="D660" s="10" t="s">
        <v>382</v>
      </c>
      <c r="E660" s="30">
        <v>41706</v>
      </c>
      <c r="F660" s="80" t="s">
        <v>366</v>
      </c>
    </row>
    <row r="661" spans="1:6" x14ac:dyDescent="0.3">
      <c r="A661" s="74" t="s">
        <v>370</v>
      </c>
      <c r="B661" s="10" t="s">
        <v>389</v>
      </c>
      <c r="C661" s="10">
        <v>3112</v>
      </c>
      <c r="D661" s="10" t="s">
        <v>345</v>
      </c>
      <c r="E661" s="30">
        <v>41651</v>
      </c>
      <c r="F661" s="80" t="s">
        <v>366</v>
      </c>
    </row>
    <row r="662" spans="1:6" x14ac:dyDescent="0.3">
      <c r="A662" s="74" t="s">
        <v>335</v>
      </c>
      <c r="B662" s="10" t="s">
        <v>348</v>
      </c>
      <c r="C662" s="10">
        <v>3115</v>
      </c>
      <c r="D662" s="10" t="s">
        <v>349</v>
      </c>
      <c r="E662" s="30">
        <v>41782</v>
      </c>
      <c r="F662" s="80" t="s">
        <v>367</v>
      </c>
    </row>
    <row r="663" spans="1:6" x14ac:dyDescent="0.3">
      <c r="A663" s="74" t="s">
        <v>350</v>
      </c>
      <c r="B663" s="10" t="s">
        <v>416</v>
      </c>
      <c r="C663" s="10">
        <v>3115</v>
      </c>
      <c r="D663" s="10" t="s">
        <v>391</v>
      </c>
      <c r="E663" s="30">
        <v>41750</v>
      </c>
      <c r="F663" s="80" t="s">
        <v>367</v>
      </c>
    </row>
    <row r="664" spans="1:6" x14ac:dyDescent="0.3">
      <c r="A664" s="74" t="s">
        <v>373</v>
      </c>
      <c r="B664" s="10" t="s">
        <v>429</v>
      </c>
      <c r="C664" s="10">
        <v>3119</v>
      </c>
      <c r="D664" s="10" t="s">
        <v>341</v>
      </c>
      <c r="E664" s="30">
        <v>42160</v>
      </c>
      <c r="F664" s="80" t="s">
        <v>367</v>
      </c>
    </row>
    <row r="665" spans="1:6" x14ac:dyDescent="0.3">
      <c r="A665" s="74" t="s">
        <v>376</v>
      </c>
      <c r="B665" s="10" t="s">
        <v>404</v>
      </c>
      <c r="C665" s="10">
        <v>3120</v>
      </c>
      <c r="D665" s="10" t="s">
        <v>345</v>
      </c>
      <c r="E665" s="30">
        <v>42069</v>
      </c>
      <c r="F665" s="80" t="s">
        <v>366</v>
      </c>
    </row>
    <row r="666" spans="1:6" x14ac:dyDescent="0.3">
      <c r="A666" s="74" t="s">
        <v>370</v>
      </c>
      <c r="B666" s="10" t="s">
        <v>422</v>
      </c>
      <c r="C666" s="10">
        <v>3124</v>
      </c>
      <c r="D666" s="10" t="s">
        <v>341</v>
      </c>
      <c r="E666" s="30">
        <v>42110</v>
      </c>
      <c r="F666" s="80" t="s">
        <v>367</v>
      </c>
    </row>
    <row r="667" spans="1:6" x14ac:dyDescent="0.3">
      <c r="A667" s="74" t="s">
        <v>376</v>
      </c>
      <c r="B667" s="10" t="s">
        <v>380</v>
      </c>
      <c r="C667" s="10">
        <v>3127</v>
      </c>
      <c r="D667" s="10" t="s">
        <v>342</v>
      </c>
      <c r="E667" s="30">
        <v>41913</v>
      </c>
      <c r="F667" s="80" t="s">
        <v>368</v>
      </c>
    </row>
    <row r="668" spans="1:6" x14ac:dyDescent="0.3">
      <c r="A668" s="74" t="s">
        <v>376</v>
      </c>
      <c r="B668" s="10" t="s">
        <v>409</v>
      </c>
      <c r="C668" s="10">
        <v>3131</v>
      </c>
      <c r="D668" s="10" t="s">
        <v>334</v>
      </c>
      <c r="E668" s="30">
        <v>41754</v>
      </c>
      <c r="F668" s="80" t="s">
        <v>367</v>
      </c>
    </row>
    <row r="669" spans="1:6" x14ac:dyDescent="0.3">
      <c r="A669" s="74" t="s">
        <v>350</v>
      </c>
      <c r="B669" s="10" t="s">
        <v>416</v>
      </c>
      <c r="C669" s="10">
        <v>3135</v>
      </c>
      <c r="D669" s="10" t="s">
        <v>345</v>
      </c>
      <c r="E669" s="30">
        <v>42056</v>
      </c>
      <c r="F669" s="80" t="s">
        <v>366</v>
      </c>
    </row>
    <row r="670" spans="1:6" x14ac:dyDescent="0.3">
      <c r="A670" s="74" t="s">
        <v>335</v>
      </c>
      <c r="B670" s="10" t="s">
        <v>415</v>
      </c>
      <c r="C670" s="10">
        <v>3137</v>
      </c>
      <c r="D670" s="10" t="s">
        <v>334</v>
      </c>
      <c r="E670" s="30">
        <v>41663</v>
      </c>
      <c r="F670" s="80" t="s">
        <v>366</v>
      </c>
    </row>
    <row r="671" spans="1:6" x14ac:dyDescent="0.3">
      <c r="A671" s="74" t="s">
        <v>335</v>
      </c>
      <c r="B671" s="10" t="s">
        <v>425</v>
      </c>
      <c r="C671" s="10">
        <v>3141</v>
      </c>
      <c r="D671" s="10" t="s">
        <v>339</v>
      </c>
      <c r="E671" s="30">
        <v>42350</v>
      </c>
      <c r="F671" s="80" t="s">
        <v>368</v>
      </c>
    </row>
    <row r="672" spans="1:6" x14ac:dyDescent="0.3">
      <c r="A672" s="74" t="s">
        <v>370</v>
      </c>
      <c r="B672" s="10" t="s">
        <v>420</v>
      </c>
      <c r="C672" s="10">
        <v>3145</v>
      </c>
      <c r="D672" s="10" t="s">
        <v>382</v>
      </c>
      <c r="E672" s="30">
        <v>42038</v>
      </c>
      <c r="F672" s="80" t="s">
        <v>366</v>
      </c>
    </row>
    <row r="673" spans="1:6" x14ac:dyDescent="0.3">
      <c r="A673" s="74" t="s">
        <v>376</v>
      </c>
      <c r="B673" s="10" t="s">
        <v>409</v>
      </c>
      <c r="C673" s="10">
        <v>3149</v>
      </c>
      <c r="D673" s="10" t="s">
        <v>349</v>
      </c>
      <c r="E673" s="30">
        <v>42333</v>
      </c>
      <c r="F673" s="80" t="s">
        <v>368</v>
      </c>
    </row>
    <row r="674" spans="1:6" x14ac:dyDescent="0.3">
      <c r="A674" s="74" t="s">
        <v>343</v>
      </c>
      <c r="B674" s="10" t="s">
        <v>432</v>
      </c>
      <c r="C674" s="10">
        <v>3156</v>
      </c>
      <c r="D674" s="10" t="s">
        <v>339</v>
      </c>
      <c r="E674" s="30">
        <v>41913</v>
      </c>
      <c r="F674" s="80" t="s">
        <v>368</v>
      </c>
    </row>
    <row r="675" spans="1:6" x14ac:dyDescent="0.3">
      <c r="A675" s="74" t="s">
        <v>370</v>
      </c>
      <c r="B675" s="10" t="s">
        <v>422</v>
      </c>
      <c r="C675" s="10">
        <v>3157</v>
      </c>
      <c r="D675" s="10" t="s">
        <v>337</v>
      </c>
      <c r="E675" s="30">
        <v>41839</v>
      </c>
      <c r="F675" s="80" t="s">
        <v>369</v>
      </c>
    </row>
    <row r="676" spans="1:6" x14ac:dyDescent="0.3">
      <c r="A676" s="74" t="s">
        <v>370</v>
      </c>
      <c r="B676" s="10" t="s">
        <v>387</v>
      </c>
      <c r="C676" s="10">
        <v>3158</v>
      </c>
      <c r="D676" s="10" t="s">
        <v>342</v>
      </c>
      <c r="E676" s="30">
        <v>42122</v>
      </c>
      <c r="F676" s="80" t="s">
        <v>367</v>
      </c>
    </row>
    <row r="677" spans="1:6" x14ac:dyDescent="0.3">
      <c r="A677" s="74" t="s">
        <v>373</v>
      </c>
      <c r="B677" s="10" t="s">
        <v>374</v>
      </c>
      <c r="C677" s="10">
        <v>3161</v>
      </c>
      <c r="D677" s="10" t="s">
        <v>349</v>
      </c>
      <c r="E677" s="30">
        <v>41697</v>
      </c>
      <c r="F677" s="80" t="s">
        <v>366</v>
      </c>
    </row>
    <row r="678" spans="1:6" x14ac:dyDescent="0.3">
      <c r="A678" s="74" t="s">
        <v>370</v>
      </c>
      <c r="B678" s="10" t="s">
        <v>385</v>
      </c>
      <c r="C678" s="10">
        <v>3176</v>
      </c>
      <c r="D678" s="10" t="s">
        <v>345</v>
      </c>
      <c r="E678" s="30">
        <v>41845</v>
      </c>
      <c r="F678" s="80" t="s">
        <v>369</v>
      </c>
    </row>
    <row r="679" spans="1:6" x14ac:dyDescent="0.3">
      <c r="A679" s="74" t="s">
        <v>343</v>
      </c>
      <c r="B679" s="10" t="s">
        <v>400</v>
      </c>
      <c r="C679" s="10">
        <v>3180</v>
      </c>
      <c r="D679" s="10" t="s">
        <v>349</v>
      </c>
      <c r="E679" s="30">
        <v>41712</v>
      </c>
      <c r="F679" s="80" t="s">
        <v>366</v>
      </c>
    </row>
    <row r="680" spans="1:6" x14ac:dyDescent="0.3">
      <c r="A680" s="74" t="s">
        <v>373</v>
      </c>
      <c r="B680" s="10" t="s">
        <v>423</v>
      </c>
      <c r="C680" s="10">
        <v>3182</v>
      </c>
      <c r="D680" s="10" t="s">
        <v>342</v>
      </c>
      <c r="E680" s="30">
        <v>41866</v>
      </c>
      <c r="F680" s="80" t="s">
        <v>369</v>
      </c>
    </row>
    <row r="681" spans="1:6" x14ac:dyDescent="0.3">
      <c r="A681" s="74" t="s">
        <v>335</v>
      </c>
      <c r="B681" s="10" t="s">
        <v>336</v>
      </c>
      <c r="C681" s="10">
        <v>3186</v>
      </c>
      <c r="D681" s="10" t="s">
        <v>349</v>
      </c>
      <c r="E681" s="30">
        <v>41792</v>
      </c>
      <c r="F681" s="80" t="s">
        <v>367</v>
      </c>
    </row>
    <row r="682" spans="1:6" x14ac:dyDescent="0.3">
      <c r="A682" s="74" t="s">
        <v>343</v>
      </c>
      <c r="B682" s="10" t="s">
        <v>419</v>
      </c>
      <c r="C682" s="10">
        <v>3193</v>
      </c>
      <c r="D682" s="10" t="s">
        <v>341</v>
      </c>
      <c r="E682" s="30">
        <v>41870</v>
      </c>
      <c r="F682" s="80" t="s">
        <v>369</v>
      </c>
    </row>
    <row r="683" spans="1:6" x14ac:dyDescent="0.3">
      <c r="A683" s="74" t="s">
        <v>350</v>
      </c>
      <c r="B683" s="10" t="s">
        <v>439</v>
      </c>
      <c r="C683" s="10">
        <v>3195</v>
      </c>
      <c r="D683" s="10" t="s">
        <v>339</v>
      </c>
      <c r="E683" s="30">
        <v>41762</v>
      </c>
      <c r="F683" s="80" t="s">
        <v>367</v>
      </c>
    </row>
    <row r="684" spans="1:6" x14ac:dyDescent="0.3">
      <c r="A684" s="74" t="s">
        <v>350</v>
      </c>
      <c r="B684" s="10" t="s">
        <v>426</v>
      </c>
      <c r="C684" s="10">
        <v>3199</v>
      </c>
      <c r="D684" s="10" t="s">
        <v>382</v>
      </c>
      <c r="E684" s="30">
        <v>42038</v>
      </c>
      <c r="F684" s="80" t="s">
        <v>366</v>
      </c>
    </row>
    <row r="685" spans="1:6" x14ac:dyDescent="0.3">
      <c r="A685" s="74" t="s">
        <v>350</v>
      </c>
      <c r="B685" s="10" t="s">
        <v>351</v>
      </c>
      <c r="C685" s="10">
        <v>3202</v>
      </c>
      <c r="D685" s="10" t="s">
        <v>345</v>
      </c>
      <c r="E685" s="30">
        <v>41749</v>
      </c>
      <c r="F685" s="80" t="s">
        <v>367</v>
      </c>
    </row>
    <row r="686" spans="1:6" x14ac:dyDescent="0.3">
      <c r="A686" s="74" t="s">
        <v>335</v>
      </c>
      <c r="B686" s="10" t="s">
        <v>436</v>
      </c>
      <c r="C686" s="10">
        <v>3208</v>
      </c>
      <c r="D686" s="10" t="s">
        <v>342</v>
      </c>
      <c r="E686" s="30">
        <v>42152</v>
      </c>
      <c r="F686" s="80" t="s">
        <v>367</v>
      </c>
    </row>
    <row r="687" spans="1:6" x14ac:dyDescent="0.3">
      <c r="A687" s="74" t="s">
        <v>350</v>
      </c>
      <c r="B687" s="10" t="s">
        <v>381</v>
      </c>
      <c r="C687" s="10">
        <v>3216</v>
      </c>
      <c r="D687" s="10" t="s">
        <v>339</v>
      </c>
      <c r="E687" s="30">
        <v>41785</v>
      </c>
      <c r="F687" s="80" t="s">
        <v>367</v>
      </c>
    </row>
    <row r="688" spans="1:6" x14ac:dyDescent="0.3">
      <c r="A688" s="74" t="s">
        <v>332</v>
      </c>
      <c r="B688" s="10" t="s">
        <v>340</v>
      </c>
      <c r="C688" s="10">
        <v>3221</v>
      </c>
      <c r="D688" s="10" t="s">
        <v>337</v>
      </c>
      <c r="E688" s="30">
        <v>42164</v>
      </c>
      <c r="F688" s="80" t="s">
        <v>367</v>
      </c>
    </row>
    <row r="689" spans="1:6" x14ac:dyDescent="0.3">
      <c r="A689" s="74" t="s">
        <v>332</v>
      </c>
      <c r="B689" s="10" t="s">
        <v>444</v>
      </c>
      <c r="C689" s="10">
        <v>3224</v>
      </c>
      <c r="D689" s="10" t="s">
        <v>339</v>
      </c>
      <c r="E689" s="30">
        <v>42359</v>
      </c>
      <c r="F689" s="80" t="s">
        <v>368</v>
      </c>
    </row>
    <row r="690" spans="1:6" x14ac:dyDescent="0.3">
      <c r="A690" s="74" t="s">
        <v>335</v>
      </c>
      <c r="B690" s="10" t="s">
        <v>436</v>
      </c>
      <c r="C690" s="10">
        <v>3225</v>
      </c>
      <c r="D690" s="10" t="s">
        <v>349</v>
      </c>
      <c r="E690" s="30">
        <v>41641</v>
      </c>
      <c r="F690" s="80" t="s">
        <v>366</v>
      </c>
    </row>
    <row r="691" spans="1:6" x14ac:dyDescent="0.3">
      <c r="A691" s="74" t="s">
        <v>332</v>
      </c>
      <c r="B691" s="10" t="s">
        <v>333</v>
      </c>
      <c r="C691" s="10">
        <v>3232</v>
      </c>
      <c r="D691" s="10" t="s">
        <v>345</v>
      </c>
      <c r="E691" s="30">
        <v>41724</v>
      </c>
      <c r="F691" s="80" t="s">
        <v>366</v>
      </c>
    </row>
    <row r="692" spans="1:6" x14ac:dyDescent="0.3">
      <c r="A692" s="74" t="s">
        <v>335</v>
      </c>
      <c r="B692" s="10" t="s">
        <v>393</v>
      </c>
      <c r="C692" s="10">
        <v>3232</v>
      </c>
      <c r="D692" s="10" t="s">
        <v>349</v>
      </c>
      <c r="E692" s="30">
        <v>41949</v>
      </c>
      <c r="F692" s="80" t="s">
        <v>368</v>
      </c>
    </row>
    <row r="693" spans="1:6" x14ac:dyDescent="0.3">
      <c r="A693" s="74" t="s">
        <v>332</v>
      </c>
      <c r="B693" s="10" t="s">
        <v>434</v>
      </c>
      <c r="C693" s="10">
        <v>3235</v>
      </c>
      <c r="D693" s="10" t="s">
        <v>372</v>
      </c>
      <c r="E693" s="30">
        <v>41684</v>
      </c>
      <c r="F693" s="80" t="s">
        <v>366</v>
      </c>
    </row>
    <row r="694" spans="1:6" x14ac:dyDescent="0.3">
      <c r="A694" s="74" t="s">
        <v>335</v>
      </c>
      <c r="B694" s="10" t="s">
        <v>338</v>
      </c>
      <c r="C694" s="10">
        <v>3241</v>
      </c>
      <c r="D694" s="10" t="s">
        <v>349</v>
      </c>
      <c r="E694" s="30">
        <v>41719</v>
      </c>
      <c r="F694" s="80" t="s">
        <v>366</v>
      </c>
    </row>
    <row r="695" spans="1:6" x14ac:dyDescent="0.3">
      <c r="A695" s="74" t="s">
        <v>370</v>
      </c>
      <c r="B695" s="10" t="s">
        <v>395</v>
      </c>
      <c r="C695" s="10">
        <v>3244</v>
      </c>
      <c r="D695" s="10" t="s">
        <v>345</v>
      </c>
      <c r="E695" s="30">
        <v>42250</v>
      </c>
      <c r="F695" s="80" t="s">
        <v>369</v>
      </c>
    </row>
    <row r="696" spans="1:6" x14ac:dyDescent="0.3">
      <c r="A696" s="74" t="s">
        <v>343</v>
      </c>
      <c r="B696" s="10" t="s">
        <v>427</v>
      </c>
      <c r="C696" s="10">
        <v>3245</v>
      </c>
      <c r="D696" s="10" t="s">
        <v>349</v>
      </c>
      <c r="E696" s="30">
        <v>42046</v>
      </c>
      <c r="F696" s="80" t="s">
        <v>366</v>
      </c>
    </row>
    <row r="697" spans="1:6" x14ac:dyDescent="0.3">
      <c r="A697" s="74" t="s">
        <v>373</v>
      </c>
      <c r="B697" s="10" t="s">
        <v>428</v>
      </c>
      <c r="C697" s="10">
        <v>3251</v>
      </c>
      <c r="D697" s="10" t="s">
        <v>339</v>
      </c>
      <c r="E697" s="30">
        <v>41760</v>
      </c>
      <c r="F697" s="80" t="s">
        <v>367</v>
      </c>
    </row>
    <row r="698" spans="1:6" x14ac:dyDescent="0.3">
      <c r="A698" s="74" t="s">
        <v>350</v>
      </c>
      <c r="B698" s="10" t="s">
        <v>408</v>
      </c>
      <c r="C698" s="10">
        <v>3253</v>
      </c>
      <c r="D698" s="10" t="s">
        <v>349</v>
      </c>
      <c r="E698" s="30">
        <v>42193</v>
      </c>
      <c r="F698" s="80" t="s">
        <v>369</v>
      </c>
    </row>
    <row r="699" spans="1:6" ht="15" thickBot="1" x14ac:dyDescent="0.35">
      <c r="A699" s="81" t="s">
        <v>332</v>
      </c>
      <c r="B699" s="82" t="s">
        <v>398</v>
      </c>
      <c r="C699" s="82">
        <v>3256</v>
      </c>
      <c r="D699" s="82" t="s">
        <v>341</v>
      </c>
      <c r="E699" s="83">
        <v>42332</v>
      </c>
      <c r="F699" s="84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6FD2-2CD2-4CDF-85BE-0170329D3778}">
  <dimension ref="B1:H46"/>
  <sheetViews>
    <sheetView topLeftCell="A9" zoomScale="130" zoomScaleNormal="130" workbookViewId="0">
      <selection activeCell="B49" sqref="B49"/>
    </sheetView>
  </sheetViews>
  <sheetFormatPr defaultRowHeight="14.4" x14ac:dyDescent="0.3"/>
  <cols>
    <col min="3" max="3" width="14" bestFit="1" customWidth="1"/>
    <col min="4" max="4" width="15.5546875" bestFit="1" customWidth="1"/>
    <col min="5" max="7" width="7" bestFit="1" customWidth="1"/>
    <col min="8" max="8" width="10.88671875" bestFit="1" customWidth="1"/>
    <col min="9" max="9" width="12.44140625" bestFit="1" customWidth="1"/>
    <col min="10" max="10" width="8" bestFit="1" customWidth="1"/>
    <col min="11" max="11" width="14.33203125" bestFit="1" customWidth="1"/>
    <col min="12" max="12" width="10.88671875" bestFit="1" customWidth="1"/>
  </cols>
  <sheetData>
    <row r="1" spans="2:4" x14ac:dyDescent="0.3">
      <c r="B1" s="1" t="s">
        <v>449</v>
      </c>
    </row>
    <row r="3" spans="2:4" x14ac:dyDescent="0.3">
      <c r="C3" s="75" t="s">
        <v>248</v>
      </c>
      <c r="D3" t="s">
        <v>452</v>
      </c>
    </row>
    <row r="4" spans="2:4" x14ac:dyDescent="0.3">
      <c r="C4" s="76" t="s">
        <v>370</v>
      </c>
      <c r="D4" s="85">
        <v>293904</v>
      </c>
    </row>
    <row r="5" spans="2:4" x14ac:dyDescent="0.3">
      <c r="C5" s="76" t="s">
        <v>332</v>
      </c>
      <c r="D5" s="85">
        <v>152158</v>
      </c>
    </row>
    <row r="6" spans="2:4" x14ac:dyDescent="0.3">
      <c r="C6" s="76" t="s">
        <v>373</v>
      </c>
      <c r="D6" s="85">
        <v>185296</v>
      </c>
    </row>
    <row r="7" spans="2:4" x14ac:dyDescent="0.3">
      <c r="C7" s="76" t="s">
        <v>383</v>
      </c>
      <c r="D7" s="85">
        <v>83014</v>
      </c>
    </row>
    <row r="8" spans="2:4" x14ac:dyDescent="0.3">
      <c r="C8" s="76" t="s">
        <v>343</v>
      </c>
      <c r="D8" s="85">
        <v>255816</v>
      </c>
    </row>
    <row r="9" spans="2:4" x14ac:dyDescent="0.3">
      <c r="C9" s="76" t="s">
        <v>335</v>
      </c>
      <c r="D9" s="85">
        <v>176312</v>
      </c>
    </row>
    <row r="10" spans="2:4" x14ac:dyDescent="0.3">
      <c r="C10" s="76" t="s">
        <v>376</v>
      </c>
      <c r="D10" s="85">
        <v>84210</v>
      </c>
    </row>
    <row r="11" spans="2:4" x14ac:dyDescent="0.3">
      <c r="C11" s="76" t="s">
        <v>350</v>
      </c>
      <c r="D11" s="85">
        <v>165080</v>
      </c>
    </row>
    <row r="12" spans="2:4" x14ac:dyDescent="0.3">
      <c r="C12" s="76" t="s">
        <v>359</v>
      </c>
      <c r="D12" s="106">
        <v>1395790</v>
      </c>
    </row>
    <row r="14" spans="2:4" x14ac:dyDescent="0.3">
      <c r="B14" s="1" t="s">
        <v>450</v>
      </c>
    </row>
    <row r="15" spans="2:4" x14ac:dyDescent="0.3">
      <c r="C15" s="75" t="s">
        <v>328</v>
      </c>
      <c r="D15" t="s">
        <v>370</v>
      </c>
    </row>
    <row r="17" spans="2:8" x14ac:dyDescent="0.3">
      <c r="C17" s="75" t="s">
        <v>453</v>
      </c>
      <c r="D17" t="s">
        <v>452</v>
      </c>
    </row>
    <row r="18" spans="2:8" x14ac:dyDescent="0.3">
      <c r="C18" s="76" t="s">
        <v>389</v>
      </c>
      <c r="D18" s="85">
        <v>33448</v>
      </c>
    </row>
    <row r="19" spans="2:8" x14ac:dyDescent="0.3">
      <c r="C19" s="76" t="s">
        <v>392</v>
      </c>
      <c r="D19" s="85">
        <v>29930</v>
      </c>
    </row>
    <row r="20" spans="2:8" x14ac:dyDescent="0.3">
      <c r="C20" s="76" t="s">
        <v>387</v>
      </c>
      <c r="D20" s="85">
        <v>25063</v>
      </c>
    </row>
    <row r="21" spans="2:8" x14ac:dyDescent="0.3">
      <c r="C21" s="76" t="s">
        <v>395</v>
      </c>
      <c r="D21" s="85">
        <v>24871</v>
      </c>
    </row>
    <row r="22" spans="2:8" x14ac:dyDescent="0.3">
      <c r="C22" s="76" t="s">
        <v>447</v>
      </c>
      <c r="D22" s="85">
        <v>23889</v>
      </c>
    </row>
    <row r="23" spans="2:8" x14ac:dyDescent="0.3">
      <c r="C23" s="76" t="s">
        <v>359</v>
      </c>
      <c r="D23" s="106">
        <v>137201</v>
      </c>
    </row>
    <row r="25" spans="2:8" x14ac:dyDescent="0.3">
      <c r="B25" s="1" t="s">
        <v>451</v>
      </c>
    </row>
    <row r="28" spans="2:8" x14ac:dyDescent="0.3">
      <c r="C28" s="75" t="s">
        <v>360</v>
      </c>
      <c r="D28" s="75" t="s">
        <v>361</v>
      </c>
    </row>
    <row r="29" spans="2:8" x14ac:dyDescent="0.3">
      <c r="C29" s="75" t="s">
        <v>358</v>
      </c>
      <c r="D29" t="s">
        <v>366</v>
      </c>
      <c r="E29" t="s">
        <v>367</v>
      </c>
      <c r="F29" t="s">
        <v>369</v>
      </c>
      <c r="G29" t="s">
        <v>368</v>
      </c>
      <c r="H29" t="s">
        <v>359</v>
      </c>
    </row>
    <row r="30" spans="2:8" x14ac:dyDescent="0.3">
      <c r="C30" s="76" t="s">
        <v>370</v>
      </c>
      <c r="D30" s="106">
        <v>66395</v>
      </c>
      <c r="E30" s="106">
        <v>73393</v>
      </c>
      <c r="F30" s="106">
        <v>77828</v>
      </c>
      <c r="G30" s="106">
        <v>76288</v>
      </c>
      <c r="H30" s="106">
        <v>293904</v>
      </c>
    </row>
    <row r="31" spans="2:8" x14ac:dyDescent="0.3">
      <c r="C31" s="76" t="s">
        <v>332</v>
      </c>
      <c r="D31" s="106">
        <v>23418</v>
      </c>
      <c r="E31" s="106">
        <v>57271</v>
      </c>
      <c r="F31" s="106">
        <v>27280</v>
      </c>
      <c r="G31" s="106">
        <v>44189</v>
      </c>
      <c r="H31" s="106">
        <v>152158</v>
      </c>
    </row>
    <row r="32" spans="2:8" x14ac:dyDescent="0.3">
      <c r="C32" s="76" t="s">
        <v>373</v>
      </c>
      <c r="D32" s="106">
        <v>40592</v>
      </c>
      <c r="E32" s="106">
        <v>65312</v>
      </c>
      <c r="F32" s="106">
        <v>35513</v>
      </c>
      <c r="G32" s="106">
        <v>43879</v>
      </c>
      <c r="H32" s="106">
        <v>185296</v>
      </c>
    </row>
    <row r="33" spans="2:8" x14ac:dyDescent="0.3">
      <c r="C33" s="76" t="s">
        <v>383</v>
      </c>
      <c r="D33" s="106">
        <v>29941</v>
      </c>
      <c r="E33" s="106">
        <v>14703</v>
      </c>
      <c r="F33" s="106">
        <v>13261</v>
      </c>
      <c r="G33" s="106">
        <v>25109</v>
      </c>
      <c r="H33" s="106">
        <v>83014</v>
      </c>
    </row>
    <row r="34" spans="2:8" x14ac:dyDescent="0.3">
      <c r="C34" s="76" t="s">
        <v>343</v>
      </c>
      <c r="D34" s="106">
        <v>52645</v>
      </c>
      <c r="E34" s="106">
        <v>72382</v>
      </c>
      <c r="F34" s="106">
        <v>69514</v>
      </c>
      <c r="G34" s="106">
        <v>61275</v>
      </c>
      <c r="H34" s="106">
        <v>255816</v>
      </c>
    </row>
    <row r="35" spans="2:8" x14ac:dyDescent="0.3">
      <c r="C35" s="76" t="s">
        <v>335</v>
      </c>
      <c r="D35" s="106">
        <v>48632</v>
      </c>
      <c r="E35" s="106">
        <v>54768</v>
      </c>
      <c r="F35" s="106">
        <v>30714</v>
      </c>
      <c r="G35" s="106">
        <v>42198</v>
      </c>
      <c r="H35" s="106">
        <v>176312</v>
      </c>
    </row>
    <row r="36" spans="2:8" x14ac:dyDescent="0.3">
      <c r="C36" s="76" t="s">
        <v>376</v>
      </c>
      <c r="D36" s="106">
        <v>20980</v>
      </c>
      <c r="E36" s="106">
        <v>29553</v>
      </c>
      <c r="F36" s="106">
        <v>19235</v>
      </c>
      <c r="G36" s="106">
        <v>14442</v>
      </c>
      <c r="H36" s="106">
        <v>84210</v>
      </c>
    </row>
    <row r="37" spans="2:8" x14ac:dyDescent="0.3">
      <c r="C37" s="76" t="s">
        <v>350</v>
      </c>
      <c r="D37" s="106">
        <v>48590</v>
      </c>
      <c r="E37" s="106">
        <v>49428</v>
      </c>
      <c r="F37" s="106">
        <v>44802</v>
      </c>
      <c r="G37" s="106">
        <v>22260</v>
      </c>
      <c r="H37" s="106">
        <v>165080</v>
      </c>
    </row>
    <row r="38" spans="2:8" x14ac:dyDescent="0.3">
      <c r="C38" s="76" t="s">
        <v>359</v>
      </c>
      <c r="D38" s="106">
        <v>331193</v>
      </c>
      <c r="E38" s="106">
        <v>416810</v>
      </c>
      <c r="F38" s="106">
        <v>318147</v>
      </c>
      <c r="G38" s="106">
        <v>329640</v>
      </c>
      <c r="H38" s="106">
        <v>1395790</v>
      </c>
    </row>
    <row r="40" spans="2:8" x14ac:dyDescent="0.3">
      <c r="B40" s="1" t="s">
        <v>454</v>
      </c>
    </row>
    <row r="41" spans="2:8" x14ac:dyDescent="0.3">
      <c r="C41" s="75" t="s">
        <v>328</v>
      </c>
      <c r="D41" t="s">
        <v>376</v>
      </c>
    </row>
    <row r="43" spans="2:8" x14ac:dyDescent="0.3">
      <c r="C43" s="75" t="s">
        <v>358</v>
      </c>
      <c r="D43" t="s">
        <v>360</v>
      </c>
      <c r="E43" t="s">
        <v>455</v>
      </c>
      <c r="F43" t="s">
        <v>457</v>
      </c>
      <c r="G43" t="s">
        <v>458</v>
      </c>
      <c r="H43" t="s">
        <v>456</v>
      </c>
    </row>
    <row r="44" spans="2:8" x14ac:dyDescent="0.3">
      <c r="C44" s="76" t="s">
        <v>369</v>
      </c>
      <c r="D44" s="106">
        <v>19235</v>
      </c>
      <c r="E44" s="106">
        <v>1748.6363636363637</v>
      </c>
      <c r="F44" s="106">
        <v>800</v>
      </c>
      <c r="G44" s="106">
        <v>11</v>
      </c>
      <c r="H44" s="106">
        <v>2961</v>
      </c>
    </row>
    <row r="45" spans="2:8" x14ac:dyDescent="0.3">
      <c r="C45" s="76" t="s">
        <v>368</v>
      </c>
      <c r="D45" s="106">
        <v>14442</v>
      </c>
      <c r="E45" s="106">
        <v>2407</v>
      </c>
      <c r="F45" s="106">
        <v>1746</v>
      </c>
      <c r="G45" s="106">
        <v>6</v>
      </c>
      <c r="H45" s="106">
        <v>3149</v>
      </c>
    </row>
    <row r="46" spans="2:8" x14ac:dyDescent="0.3">
      <c r="C46" s="76" t="s">
        <v>359</v>
      </c>
      <c r="D46" s="106">
        <v>33677</v>
      </c>
      <c r="E46" s="106">
        <v>1981</v>
      </c>
      <c r="F46" s="106">
        <v>800</v>
      </c>
      <c r="G46" s="106">
        <v>17</v>
      </c>
      <c r="H46" s="106">
        <v>3149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C5E1-451C-4FD2-80CA-A6AEF964D203}">
  <dimension ref="B2:K63"/>
  <sheetViews>
    <sheetView topLeftCell="A4" zoomScale="119" zoomScaleNormal="140" workbookViewId="0">
      <selection activeCell="E37" sqref="E37"/>
    </sheetView>
  </sheetViews>
  <sheetFormatPr defaultRowHeight="14.4" x14ac:dyDescent="0.3"/>
  <cols>
    <col min="3" max="3" width="12.5546875" bestFit="1" customWidth="1"/>
    <col min="4" max="4" width="11.6640625" bestFit="1" customWidth="1"/>
    <col min="10" max="10" width="13.109375" bestFit="1" customWidth="1"/>
    <col min="11" max="11" width="16.44140625" bestFit="1" customWidth="1"/>
  </cols>
  <sheetData>
    <row r="2" spans="2:4" x14ac:dyDescent="0.3">
      <c r="B2" s="2" t="s">
        <v>459</v>
      </c>
      <c r="C2" s="3"/>
    </row>
    <row r="4" spans="2:4" x14ac:dyDescent="0.3">
      <c r="C4" s="6" t="s">
        <v>460</v>
      </c>
    </row>
    <row r="5" spans="2:4" x14ac:dyDescent="0.3">
      <c r="D5" t="s">
        <v>462</v>
      </c>
    </row>
    <row r="6" spans="2:4" x14ac:dyDescent="0.3">
      <c r="D6" t="s">
        <v>464</v>
      </c>
    </row>
    <row r="7" spans="2:4" x14ac:dyDescent="0.3">
      <c r="D7" t="s">
        <v>466</v>
      </c>
    </row>
    <row r="8" spans="2:4" x14ac:dyDescent="0.3">
      <c r="D8" t="s">
        <v>469</v>
      </c>
    </row>
    <row r="10" spans="2:4" x14ac:dyDescent="0.3">
      <c r="C10" s="6" t="s">
        <v>461</v>
      </c>
    </row>
    <row r="11" spans="2:4" x14ac:dyDescent="0.3">
      <c r="D11" t="s">
        <v>463</v>
      </c>
    </row>
    <row r="12" spans="2:4" x14ac:dyDescent="0.3">
      <c r="D12" t="s">
        <v>465</v>
      </c>
    </row>
    <row r="13" spans="2:4" x14ac:dyDescent="0.3">
      <c r="D13" t="s">
        <v>467</v>
      </c>
    </row>
    <row r="14" spans="2:4" x14ac:dyDescent="0.3">
      <c r="D14" t="s">
        <v>468</v>
      </c>
    </row>
    <row r="16" spans="2:4" x14ac:dyDescent="0.3">
      <c r="B16" t="s">
        <v>471</v>
      </c>
    </row>
    <row r="17" spans="2:10" x14ac:dyDescent="0.3">
      <c r="D17" t="s">
        <v>470</v>
      </c>
    </row>
    <row r="19" spans="2:10" x14ac:dyDescent="0.3">
      <c r="B19" t="s">
        <v>472</v>
      </c>
    </row>
    <row r="20" spans="2:10" x14ac:dyDescent="0.3">
      <c r="C20" t="s">
        <v>473</v>
      </c>
    </row>
    <row r="21" spans="2:10" x14ac:dyDescent="0.3">
      <c r="C21" t="s">
        <v>474</v>
      </c>
      <c r="F21" t="s">
        <v>477</v>
      </c>
    </row>
    <row r="22" spans="2:10" x14ac:dyDescent="0.3">
      <c r="C22" t="s">
        <v>475</v>
      </c>
      <c r="F22" t="s">
        <v>478</v>
      </c>
    </row>
    <row r="24" spans="2:10" x14ac:dyDescent="0.3">
      <c r="C24" t="s">
        <v>476</v>
      </c>
      <c r="D24" s="12" t="s">
        <v>479</v>
      </c>
      <c r="E24" t="s">
        <v>486</v>
      </c>
      <c r="I24" t="s">
        <v>491</v>
      </c>
    </row>
    <row r="25" spans="2:10" x14ac:dyDescent="0.3">
      <c r="C25" t="s">
        <v>480</v>
      </c>
      <c r="D25" s="12" t="s">
        <v>487</v>
      </c>
      <c r="I25" t="s">
        <v>492</v>
      </c>
      <c r="J25" t="s">
        <v>493</v>
      </c>
    </row>
    <row r="26" spans="2:10" x14ac:dyDescent="0.3">
      <c r="C26" t="s">
        <v>481</v>
      </c>
      <c r="D26" s="12" t="s">
        <v>488</v>
      </c>
      <c r="I26" t="s">
        <v>494</v>
      </c>
      <c r="J26" t="s">
        <v>495</v>
      </c>
    </row>
    <row r="27" spans="2:10" x14ac:dyDescent="0.3">
      <c r="C27" t="s">
        <v>482</v>
      </c>
      <c r="D27" s="12" t="s">
        <v>489</v>
      </c>
      <c r="I27" t="s">
        <v>496</v>
      </c>
    </row>
    <row r="28" spans="2:10" x14ac:dyDescent="0.3">
      <c r="C28" t="s">
        <v>483</v>
      </c>
      <c r="D28" s="12" t="s">
        <v>490</v>
      </c>
      <c r="I28" t="s">
        <v>42</v>
      </c>
    </row>
    <row r="29" spans="2:10" x14ac:dyDescent="0.3">
      <c r="C29" t="s">
        <v>484</v>
      </c>
      <c r="D29" s="12" t="s">
        <v>485</v>
      </c>
    </row>
    <row r="32" spans="2:10" x14ac:dyDescent="0.3">
      <c r="B32" s="6" t="s">
        <v>497</v>
      </c>
      <c r="I32" s="6" t="s">
        <v>500</v>
      </c>
    </row>
    <row r="34" spans="2:11" x14ac:dyDescent="0.3">
      <c r="C34" s="75" t="s">
        <v>248</v>
      </c>
      <c r="D34" t="s">
        <v>452</v>
      </c>
      <c r="J34" s="75" t="s">
        <v>508</v>
      </c>
      <c r="K34" t="s">
        <v>507</v>
      </c>
    </row>
    <row r="35" spans="2:11" x14ac:dyDescent="0.3">
      <c r="C35" s="76" t="s">
        <v>370</v>
      </c>
      <c r="D35">
        <v>293904</v>
      </c>
      <c r="J35" s="76" t="s">
        <v>501</v>
      </c>
      <c r="K35">
        <v>133</v>
      </c>
    </row>
    <row r="36" spans="2:11" x14ac:dyDescent="0.3">
      <c r="C36" s="76" t="s">
        <v>332</v>
      </c>
      <c r="D36">
        <v>148902</v>
      </c>
      <c r="J36" s="76" t="s">
        <v>502</v>
      </c>
      <c r="K36">
        <v>135</v>
      </c>
    </row>
    <row r="37" spans="2:11" x14ac:dyDescent="0.3">
      <c r="C37" s="76" t="s">
        <v>373</v>
      </c>
      <c r="D37">
        <v>185296</v>
      </c>
      <c r="J37" s="76" t="s">
        <v>503</v>
      </c>
      <c r="K37">
        <v>150</v>
      </c>
    </row>
    <row r="38" spans="2:11" x14ac:dyDescent="0.3">
      <c r="C38" s="76" t="s">
        <v>498</v>
      </c>
      <c r="D38">
        <v>167224</v>
      </c>
      <c r="J38" s="76" t="s">
        <v>504</v>
      </c>
      <c r="K38">
        <v>142</v>
      </c>
    </row>
    <row r="39" spans="2:11" x14ac:dyDescent="0.3">
      <c r="C39" s="86" t="s">
        <v>383</v>
      </c>
      <c r="D39">
        <v>83014</v>
      </c>
      <c r="J39" s="76" t="s">
        <v>505</v>
      </c>
      <c r="K39">
        <v>132</v>
      </c>
    </row>
    <row r="40" spans="2:11" x14ac:dyDescent="0.3">
      <c r="C40" s="86" t="s">
        <v>376</v>
      </c>
      <c r="D40">
        <v>84210</v>
      </c>
      <c r="J40" s="76" t="s">
        <v>506</v>
      </c>
      <c r="K40">
        <v>5</v>
      </c>
    </row>
    <row r="41" spans="2:11" x14ac:dyDescent="0.3">
      <c r="C41" s="76" t="s">
        <v>343</v>
      </c>
      <c r="D41">
        <v>255816</v>
      </c>
      <c r="J41" s="76" t="s">
        <v>359</v>
      </c>
      <c r="K41">
        <v>697</v>
      </c>
    </row>
    <row r="42" spans="2:11" x14ac:dyDescent="0.3">
      <c r="C42" s="76" t="s">
        <v>335</v>
      </c>
      <c r="D42">
        <v>176312</v>
      </c>
    </row>
    <row r="43" spans="2:11" x14ac:dyDescent="0.3">
      <c r="C43" s="76" t="s">
        <v>350</v>
      </c>
      <c r="D43">
        <v>165080</v>
      </c>
    </row>
    <row r="44" spans="2:11" x14ac:dyDescent="0.3">
      <c r="C44" s="76" t="s">
        <v>359</v>
      </c>
      <c r="D44">
        <v>1392534</v>
      </c>
    </row>
    <row r="46" spans="2:11" x14ac:dyDescent="0.3">
      <c r="C46" s="87" t="s">
        <v>499</v>
      </c>
    </row>
    <row r="48" spans="2:11" x14ac:dyDescent="0.3">
      <c r="B48" s="6" t="s">
        <v>509</v>
      </c>
    </row>
    <row r="50" spans="3:4" x14ac:dyDescent="0.3">
      <c r="C50" s="75" t="s">
        <v>107</v>
      </c>
      <c r="D50" t="s">
        <v>452</v>
      </c>
    </row>
    <row r="51" spans="3:4" x14ac:dyDescent="0.3">
      <c r="C51" s="76" t="s">
        <v>510</v>
      </c>
      <c r="D51">
        <v>104351</v>
      </c>
    </row>
    <row r="52" spans="3:4" x14ac:dyDescent="0.3">
      <c r="C52" s="76" t="s">
        <v>511</v>
      </c>
      <c r="D52">
        <v>124237</v>
      </c>
    </row>
    <row r="53" spans="3:4" x14ac:dyDescent="0.3">
      <c r="C53" s="76" t="s">
        <v>512</v>
      </c>
      <c r="D53">
        <v>102605</v>
      </c>
    </row>
    <row r="54" spans="3:4" x14ac:dyDescent="0.3">
      <c r="C54" s="76" t="s">
        <v>513</v>
      </c>
      <c r="D54">
        <v>123379</v>
      </c>
    </row>
    <row r="55" spans="3:4" x14ac:dyDescent="0.3">
      <c r="C55" s="76" t="s">
        <v>514</v>
      </c>
      <c r="D55">
        <v>139398</v>
      </c>
    </row>
    <row r="56" spans="3:4" x14ac:dyDescent="0.3">
      <c r="C56" s="76" t="s">
        <v>515</v>
      </c>
      <c r="D56">
        <v>154033</v>
      </c>
    </row>
    <row r="57" spans="3:4" x14ac:dyDescent="0.3">
      <c r="C57" s="76" t="s">
        <v>516</v>
      </c>
      <c r="D57">
        <v>104620</v>
      </c>
    </row>
    <row r="58" spans="3:4" x14ac:dyDescent="0.3">
      <c r="C58" s="76" t="s">
        <v>517</v>
      </c>
      <c r="D58">
        <v>129319</v>
      </c>
    </row>
    <row r="59" spans="3:4" x14ac:dyDescent="0.3">
      <c r="C59" s="76" t="s">
        <v>518</v>
      </c>
      <c r="D59">
        <v>84208</v>
      </c>
    </row>
    <row r="60" spans="3:4" x14ac:dyDescent="0.3">
      <c r="C60" s="76" t="s">
        <v>519</v>
      </c>
      <c r="D60">
        <v>114448</v>
      </c>
    </row>
    <row r="61" spans="3:4" x14ac:dyDescent="0.3">
      <c r="C61" s="76" t="s">
        <v>520</v>
      </c>
      <c r="D61">
        <v>93727</v>
      </c>
    </row>
    <row r="62" spans="3:4" x14ac:dyDescent="0.3">
      <c r="C62" s="76" t="s">
        <v>521</v>
      </c>
      <c r="D62">
        <v>118209</v>
      </c>
    </row>
    <row r="63" spans="3:4" x14ac:dyDescent="0.3">
      <c r="C63" s="76" t="s">
        <v>359</v>
      </c>
      <c r="D63">
        <v>1392534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9C02-804E-4F92-93BE-F62103607D88}">
  <dimension ref="B2:L171"/>
  <sheetViews>
    <sheetView tabSelected="1" topLeftCell="A155" zoomScale="125" zoomScaleNormal="140" workbookViewId="0">
      <selection activeCell="D13" sqref="D13"/>
    </sheetView>
  </sheetViews>
  <sheetFormatPr defaultRowHeight="14.4" x14ac:dyDescent="0.3"/>
  <cols>
    <col min="2" max="2" width="15.5546875" bestFit="1" customWidth="1"/>
    <col min="3" max="3" width="16.33203125" bestFit="1" customWidth="1"/>
    <col min="4" max="4" width="15.5546875" bestFit="1" customWidth="1"/>
    <col min="5" max="5" width="13.5546875" customWidth="1"/>
    <col min="6" max="6" width="12.5546875" customWidth="1"/>
  </cols>
  <sheetData>
    <row r="2" spans="2:4" ht="18" x14ac:dyDescent="0.35">
      <c r="B2" s="5">
        <v>45901</v>
      </c>
      <c r="C2" s="4"/>
    </row>
    <row r="4" spans="2:4" x14ac:dyDescent="0.3">
      <c r="B4" s="6" t="s">
        <v>257</v>
      </c>
    </row>
    <row r="5" spans="2:4" x14ac:dyDescent="0.3">
      <c r="C5" t="s">
        <v>522</v>
      </c>
    </row>
    <row r="6" spans="2:4" x14ac:dyDescent="0.3">
      <c r="D6" t="s">
        <v>523</v>
      </c>
    </row>
    <row r="7" spans="2:4" x14ac:dyDescent="0.3">
      <c r="D7" t="s">
        <v>524</v>
      </c>
    </row>
    <row r="8" spans="2:4" x14ac:dyDescent="0.3">
      <c r="D8" t="s">
        <v>525</v>
      </c>
    </row>
    <row r="9" spans="2:4" x14ac:dyDescent="0.3">
      <c r="C9" t="s">
        <v>526</v>
      </c>
    </row>
    <row r="10" spans="2:4" x14ac:dyDescent="0.3">
      <c r="C10" t="s">
        <v>527</v>
      </c>
    </row>
    <row r="11" spans="2:4" x14ac:dyDescent="0.3">
      <c r="C11" t="s">
        <v>528</v>
      </c>
    </row>
    <row r="12" spans="2:4" x14ac:dyDescent="0.3">
      <c r="D12" t="s">
        <v>529</v>
      </c>
    </row>
    <row r="13" spans="2:4" x14ac:dyDescent="0.3">
      <c r="D13" t="s">
        <v>530</v>
      </c>
    </row>
    <row r="14" spans="2:4" x14ac:dyDescent="0.3">
      <c r="D14" t="s">
        <v>531</v>
      </c>
    </row>
    <row r="15" spans="2:4" x14ac:dyDescent="0.3">
      <c r="C15" t="s">
        <v>532</v>
      </c>
    </row>
    <row r="18" spans="2:11" x14ac:dyDescent="0.3">
      <c r="B18" s="6" t="s">
        <v>272</v>
      </c>
    </row>
    <row r="19" spans="2:11" x14ac:dyDescent="0.3">
      <c r="C19" t="s">
        <v>533</v>
      </c>
    </row>
    <row r="20" spans="2:11" x14ac:dyDescent="0.3">
      <c r="C20" t="s">
        <v>534</v>
      </c>
    </row>
    <row r="21" spans="2:11" x14ac:dyDescent="0.3">
      <c r="D21" t="s">
        <v>327</v>
      </c>
    </row>
    <row r="22" spans="2:11" x14ac:dyDescent="0.3">
      <c r="C22" t="s">
        <v>535</v>
      </c>
    </row>
    <row r="25" spans="2:11" x14ac:dyDescent="0.3">
      <c r="B25" s="2" t="s">
        <v>536</v>
      </c>
      <c r="C25" s="3"/>
    </row>
    <row r="27" spans="2:11" x14ac:dyDescent="0.3">
      <c r="C27" t="s">
        <v>537</v>
      </c>
    </row>
    <row r="28" spans="2:11" x14ac:dyDescent="0.3">
      <c r="C28" t="s">
        <v>538</v>
      </c>
    </row>
    <row r="31" spans="2:11" x14ac:dyDescent="0.3">
      <c r="C31" s="18" t="s">
        <v>290</v>
      </c>
      <c r="D31" s="18" t="s">
        <v>291</v>
      </c>
      <c r="E31" s="18" t="s">
        <v>292</v>
      </c>
      <c r="F31" s="18" t="s">
        <v>293</v>
      </c>
      <c r="H31" s="95" t="s">
        <v>540</v>
      </c>
    </row>
    <row r="32" spans="2:11" x14ac:dyDescent="0.3">
      <c r="C32" s="10" t="s">
        <v>294</v>
      </c>
      <c r="D32" s="10" t="s">
        <v>295</v>
      </c>
      <c r="E32" s="10" t="s">
        <v>296</v>
      </c>
      <c r="F32" s="10">
        <v>12.478446999999999</v>
      </c>
      <c r="H32" t="s">
        <v>541</v>
      </c>
      <c r="K32" t="str">
        <f>_xlfn.XLOOKUP("Jaipur", $E$31:$E$38, $C$31:$C$38, "NA", 0)</f>
        <v>C7</v>
      </c>
    </row>
    <row r="33" spans="3:12" x14ac:dyDescent="0.3">
      <c r="C33" s="10" t="s">
        <v>297</v>
      </c>
      <c r="D33" s="10" t="s">
        <v>298</v>
      </c>
      <c r="E33" s="10" t="s">
        <v>298</v>
      </c>
      <c r="F33" s="10">
        <v>11.007835</v>
      </c>
      <c r="H33" t="s">
        <v>542</v>
      </c>
      <c r="K33" t="str">
        <f>INDEX($C$31:$F$38, MATCH("Jaipur", $E$31:$E$38, 0), MATCH("City Code", $C$31:$F$31, 0) )</f>
        <v>C7</v>
      </c>
    </row>
    <row r="34" spans="3:12" x14ac:dyDescent="0.3">
      <c r="C34" s="10" t="s">
        <v>539</v>
      </c>
      <c r="D34" s="10" t="s">
        <v>299</v>
      </c>
      <c r="E34" s="10" t="s">
        <v>300</v>
      </c>
      <c r="F34" s="10">
        <v>5.5705850000000003</v>
      </c>
      <c r="H34" t="s">
        <v>543</v>
      </c>
      <c r="K34" t="str">
        <f>VLOOKUP("Jaipur", CHOOSE({3,4,1,2}, C31:C38, D31:D38, E31:E38, F31:F38), 3, 0)</f>
        <v>C7</v>
      </c>
    </row>
    <row r="35" spans="3:12" x14ac:dyDescent="0.3">
      <c r="C35" s="10" t="s">
        <v>301</v>
      </c>
      <c r="D35" s="10" t="s">
        <v>302</v>
      </c>
      <c r="E35" s="10" t="s">
        <v>303</v>
      </c>
      <c r="F35" s="10">
        <v>4.4866789999999996</v>
      </c>
    </row>
    <row r="36" spans="3:12" x14ac:dyDescent="0.3">
      <c r="C36" s="10" t="s">
        <v>304</v>
      </c>
      <c r="D36" s="10" t="s">
        <v>299</v>
      </c>
      <c r="E36" s="10" t="s">
        <v>305</v>
      </c>
      <c r="F36" s="10">
        <v>4.462002</v>
      </c>
    </row>
    <row r="37" spans="3:12" x14ac:dyDescent="0.3">
      <c r="C37" s="10" t="s">
        <v>306</v>
      </c>
      <c r="D37" s="10" t="s">
        <v>295</v>
      </c>
      <c r="E37" s="10" t="s">
        <v>307</v>
      </c>
      <c r="F37" s="10">
        <v>3.1154310000000001</v>
      </c>
    </row>
    <row r="38" spans="3:12" x14ac:dyDescent="0.3">
      <c r="C38" s="10" t="s">
        <v>308</v>
      </c>
      <c r="D38" s="10" t="s">
        <v>309</v>
      </c>
      <c r="E38" s="10" t="s">
        <v>310</v>
      </c>
      <c r="F38" s="10">
        <v>3.1733500000000001</v>
      </c>
    </row>
    <row r="41" spans="3:12" x14ac:dyDescent="0.3">
      <c r="C41" s="8" t="s">
        <v>544</v>
      </c>
      <c r="H41" s="8" t="s">
        <v>545</v>
      </c>
    </row>
    <row r="42" spans="3:12" x14ac:dyDescent="0.3">
      <c r="D42" t="str" cm="1">
        <f t="array" ref="D42:D49">CHOOSE(3,C31:C38, D31:D38, E31:E38, F31:F38)</f>
        <v>Cities</v>
      </c>
      <c r="I42" t="str" cm="1">
        <f t="array" ref="I42:L49">CHOOSE({3,1,4,2}, C31:C38, D31:D38, E31:E38, F31:F38)</f>
        <v>Cities</v>
      </c>
      <c r="J42" t="str">
        <v>City Code</v>
      </c>
      <c r="K42" t="str">
        <v>Population in 2011 (in mn)</v>
      </c>
      <c r="L42" t="str">
        <v>State</v>
      </c>
    </row>
    <row r="43" spans="3:12" x14ac:dyDescent="0.3">
      <c r="D43" t="str">
        <v>Mumbai</v>
      </c>
      <c r="I43" t="str">
        <v>Mumbai</v>
      </c>
      <c r="J43" t="str">
        <v>C1</v>
      </c>
      <c r="K43">
        <v>12.478446999999999</v>
      </c>
      <c r="L43" t="str">
        <v>Maharashtra</v>
      </c>
    </row>
    <row r="44" spans="3:12" x14ac:dyDescent="0.3">
      <c r="D44" t="str">
        <v>Delhi</v>
      </c>
      <c r="I44" t="str">
        <v>Delhi</v>
      </c>
      <c r="J44" t="str">
        <v>C2</v>
      </c>
      <c r="K44">
        <v>11.007835</v>
      </c>
      <c r="L44" t="str">
        <v>Delhi</v>
      </c>
    </row>
    <row r="45" spans="3:12" x14ac:dyDescent="0.3">
      <c r="D45" t="str">
        <v>Ahmedabad</v>
      </c>
      <c r="I45" t="str">
        <v>Ahmedabad</v>
      </c>
      <c r="J45" t="str">
        <v>C3</v>
      </c>
      <c r="K45">
        <v>5.5705850000000003</v>
      </c>
      <c r="L45" t="str">
        <v>Gujarat</v>
      </c>
    </row>
    <row r="46" spans="3:12" x14ac:dyDescent="0.3">
      <c r="D46" t="str">
        <v>Kolkata</v>
      </c>
      <c r="I46" t="str">
        <v>Kolkata</v>
      </c>
      <c r="J46" t="str">
        <v>C4</v>
      </c>
      <c r="K46">
        <v>4.4866789999999996</v>
      </c>
      <c r="L46" t="str">
        <v>West Bengal</v>
      </c>
    </row>
    <row r="47" spans="3:12" x14ac:dyDescent="0.3">
      <c r="D47" t="str">
        <v>Surat</v>
      </c>
      <c r="I47" t="str">
        <v>Surat</v>
      </c>
      <c r="J47" t="str">
        <v>C5</v>
      </c>
      <c r="K47">
        <v>4.462002</v>
      </c>
      <c r="L47" t="str">
        <v>Gujarat</v>
      </c>
    </row>
    <row r="48" spans="3:12" x14ac:dyDescent="0.3">
      <c r="D48" t="str">
        <v>Pune</v>
      </c>
      <c r="I48" t="str">
        <v>Pune</v>
      </c>
      <c r="J48" t="str">
        <v>C6</v>
      </c>
      <c r="K48">
        <v>3.1154310000000001</v>
      </c>
      <c r="L48" t="str">
        <v>Maharashtra</v>
      </c>
    </row>
    <row r="49" spans="2:12" x14ac:dyDescent="0.3">
      <c r="D49" t="str">
        <v>Jaipur</v>
      </c>
      <c r="I49" t="str">
        <v>Jaipur</v>
      </c>
      <c r="J49" t="str">
        <v>C7</v>
      </c>
      <c r="K49">
        <v>3.1733500000000001</v>
      </c>
      <c r="L49" t="str">
        <v>Rajasthan</v>
      </c>
    </row>
    <row r="52" spans="2:12" ht="15" thickBot="1" x14ac:dyDescent="0.35">
      <c r="B52" s="2" t="s">
        <v>558</v>
      </c>
    </row>
    <row r="53" spans="2:12" ht="15" thickBot="1" x14ac:dyDescent="0.35">
      <c r="C53" t="s">
        <v>559</v>
      </c>
      <c r="H53" s="97" t="s">
        <v>570</v>
      </c>
      <c r="J53" s="98" t="s">
        <v>571</v>
      </c>
      <c r="K53" s="98"/>
    </row>
    <row r="54" spans="2:12" x14ac:dyDescent="0.3">
      <c r="C54" t="s">
        <v>560</v>
      </c>
    </row>
    <row r="55" spans="2:12" x14ac:dyDescent="0.3">
      <c r="D55" t="s">
        <v>561</v>
      </c>
      <c r="I55" s="98" t="s">
        <v>572</v>
      </c>
      <c r="J55" s="98"/>
    </row>
    <row r="56" spans="2:12" x14ac:dyDescent="0.3">
      <c r="I56" s="98"/>
      <c r="J56" s="98"/>
    </row>
    <row r="58" spans="2:12" x14ac:dyDescent="0.3">
      <c r="C58" s="96" t="s">
        <v>107</v>
      </c>
      <c r="D58" s="96" t="s">
        <v>547</v>
      </c>
      <c r="F58" s="39" t="s">
        <v>562</v>
      </c>
      <c r="I58" s="39" t="s">
        <v>567</v>
      </c>
    </row>
    <row r="59" spans="2:12" x14ac:dyDescent="0.3">
      <c r="C59" s="10" t="s">
        <v>548</v>
      </c>
      <c r="D59" s="10">
        <v>342</v>
      </c>
      <c r="F59" t="str">
        <f ca="1">OFFSET($C$58, COUNTA($C$59:$C$70), 0)</f>
        <v>jul</v>
      </c>
      <c r="I59" s="39" t="s">
        <v>568</v>
      </c>
    </row>
    <row r="60" spans="2:12" x14ac:dyDescent="0.3">
      <c r="C60" s="10" t="s">
        <v>549</v>
      </c>
      <c r="D60" s="10">
        <v>290</v>
      </c>
      <c r="F60" s="39" t="s">
        <v>563</v>
      </c>
      <c r="J60">
        <f ca="1">AVERAGE( OFFSET($C$58, COUNTA($C$59:$C$70), 1, -3, 1) )</f>
        <v>859.66666666666663</v>
      </c>
    </row>
    <row r="61" spans="2:12" x14ac:dyDescent="0.3">
      <c r="C61" s="10" t="s">
        <v>550</v>
      </c>
      <c r="D61" s="10">
        <v>219</v>
      </c>
      <c r="F61">
        <f ca="1">OFFSET($C$58, COUNTA($C$59:$C$70), 1)</f>
        <v>900</v>
      </c>
    </row>
    <row r="62" spans="2:12" x14ac:dyDescent="0.3">
      <c r="C62" s="10" t="s">
        <v>551</v>
      </c>
      <c r="D62" s="10">
        <v>319</v>
      </c>
      <c r="F62" s="39" t="s">
        <v>564</v>
      </c>
    </row>
    <row r="63" spans="2:12" x14ac:dyDescent="0.3">
      <c r="C63" s="10" t="s">
        <v>555</v>
      </c>
      <c r="D63" s="10">
        <v>789</v>
      </c>
      <c r="F63" t="str" cm="1">
        <f t="array" aca="1" ref="F63:F64" ca="1">OFFSET($C$58, COUNTA($C$59:$C$70), 0, -2, 1)</f>
        <v>jun</v>
      </c>
    </row>
    <row r="64" spans="2:12" x14ac:dyDescent="0.3">
      <c r="C64" s="10" t="s">
        <v>556</v>
      </c>
      <c r="D64" s="10">
        <v>890</v>
      </c>
      <c r="F64" t="str">
        <f ca="1"/>
        <v>jul</v>
      </c>
    </row>
    <row r="65" spans="2:7" x14ac:dyDescent="0.3">
      <c r="C65" s="10" t="s">
        <v>569</v>
      </c>
      <c r="D65" s="10">
        <v>900</v>
      </c>
      <c r="F65" s="39" t="s">
        <v>565</v>
      </c>
    </row>
    <row r="66" spans="2:7" x14ac:dyDescent="0.3">
      <c r="C66" s="10"/>
      <c r="D66" s="10"/>
      <c r="F66" cm="1">
        <f t="array" aca="1" ref="F66:F68" ca="1">OFFSET($C$58, COUNTA($C$59:$C$70), 1, -3, 1)</f>
        <v>789</v>
      </c>
    </row>
    <row r="67" spans="2:7" x14ac:dyDescent="0.3">
      <c r="C67" s="10"/>
      <c r="D67" s="10"/>
      <c r="F67">
        <f ca="1"/>
        <v>890</v>
      </c>
    </row>
    <row r="68" spans="2:7" x14ac:dyDescent="0.3">
      <c r="C68" s="10"/>
      <c r="D68" s="10"/>
      <c r="F68">
        <f ca="1"/>
        <v>900</v>
      </c>
    </row>
    <row r="69" spans="2:7" x14ac:dyDescent="0.3">
      <c r="C69" s="10"/>
      <c r="D69" s="10"/>
    </row>
    <row r="70" spans="2:7" x14ac:dyDescent="0.3">
      <c r="C70" s="10"/>
      <c r="D70" s="10"/>
      <c r="F70" s="39" t="s">
        <v>566</v>
      </c>
    </row>
    <row r="71" spans="2:7" x14ac:dyDescent="0.3">
      <c r="F71" t="str" cm="1">
        <f t="array" aca="1" ref="F71:G74" ca="1">OFFSET($C$58, COUNTA($C$59:$C$70), ,-4, 2)</f>
        <v>apr</v>
      </c>
      <c r="G71">
        <f ca="1"/>
        <v>319</v>
      </c>
    </row>
    <row r="72" spans="2:7" x14ac:dyDescent="0.3">
      <c r="F72" t="str">
        <f ca="1"/>
        <v>may</v>
      </c>
      <c r="G72">
        <f ca="1"/>
        <v>789</v>
      </c>
    </row>
    <row r="73" spans="2:7" x14ac:dyDescent="0.3">
      <c r="F73" t="str">
        <f ca="1"/>
        <v>jun</v>
      </c>
      <c r="G73">
        <f ca="1"/>
        <v>890</v>
      </c>
    </row>
    <row r="74" spans="2:7" x14ac:dyDescent="0.3">
      <c r="F74" t="str">
        <f ca="1"/>
        <v>jul</v>
      </c>
      <c r="G74">
        <f ca="1"/>
        <v>900</v>
      </c>
    </row>
    <row r="77" spans="2:7" x14ac:dyDescent="0.3">
      <c r="B77" s="2" t="s">
        <v>546</v>
      </c>
      <c r="C77" s="3"/>
    </row>
    <row r="79" spans="2:7" x14ac:dyDescent="0.3">
      <c r="C79" t="s">
        <v>552</v>
      </c>
    </row>
    <row r="80" spans="2:7" x14ac:dyDescent="0.3">
      <c r="D80" t="s">
        <v>553</v>
      </c>
    </row>
    <row r="82" spans="3:4" x14ac:dyDescent="0.3">
      <c r="C82" s="96" t="s">
        <v>107</v>
      </c>
      <c r="D82" s="96" t="s">
        <v>547</v>
      </c>
    </row>
    <row r="83" spans="3:4" x14ac:dyDescent="0.3">
      <c r="C83" s="10" t="s">
        <v>548</v>
      </c>
      <c r="D83" s="10">
        <v>342</v>
      </c>
    </row>
    <row r="84" spans="3:4" x14ac:dyDescent="0.3">
      <c r="C84" s="10" t="s">
        <v>549</v>
      </c>
      <c r="D84" s="10">
        <v>290</v>
      </c>
    </row>
    <row r="85" spans="3:4" x14ac:dyDescent="0.3">
      <c r="C85" s="10" t="s">
        <v>550</v>
      </c>
      <c r="D85" s="10">
        <v>219</v>
      </c>
    </row>
    <row r="86" spans="3:4" x14ac:dyDescent="0.3">
      <c r="C86" s="10" t="s">
        <v>551</v>
      </c>
      <c r="D86" s="10">
        <v>319</v>
      </c>
    </row>
    <row r="87" spans="3:4" x14ac:dyDescent="0.3">
      <c r="C87" s="10" t="s">
        <v>555</v>
      </c>
      <c r="D87" s="10">
        <v>789</v>
      </c>
    </row>
    <row r="88" spans="3:4" x14ac:dyDescent="0.3">
      <c r="C88" s="10"/>
      <c r="D88" s="10"/>
    </row>
    <row r="89" spans="3:4" x14ac:dyDescent="0.3">
      <c r="C89" s="10"/>
      <c r="D89" s="10"/>
    </row>
    <row r="90" spans="3:4" x14ac:dyDescent="0.3">
      <c r="C90" s="10"/>
      <c r="D90" s="10"/>
    </row>
    <row r="91" spans="3:4" x14ac:dyDescent="0.3">
      <c r="C91" s="10"/>
      <c r="D91" s="10"/>
    </row>
    <row r="92" spans="3:4" x14ac:dyDescent="0.3">
      <c r="C92" s="10"/>
      <c r="D92" s="10"/>
    </row>
    <row r="94" spans="3:4" x14ac:dyDescent="0.3">
      <c r="C94" t="s">
        <v>554</v>
      </c>
    </row>
    <row r="95" spans="3:4" x14ac:dyDescent="0.3">
      <c r="D95" t="s">
        <v>557</v>
      </c>
    </row>
    <row r="97" spans="4:7" x14ac:dyDescent="0.3">
      <c r="G97" t="s">
        <v>574</v>
      </c>
    </row>
    <row r="98" spans="4:7" x14ac:dyDescent="0.3">
      <c r="D98" s="96" t="s">
        <v>107</v>
      </c>
      <c r="E98" s="96" t="s">
        <v>547</v>
      </c>
      <c r="G98" t="s">
        <v>575</v>
      </c>
    </row>
    <row r="99" spans="4:7" x14ac:dyDescent="0.3">
      <c r="D99" s="10" t="s">
        <v>548</v>
      </c>
      <c r="E99" s="10">
        <v>342</v>
      </c>
    </row>
    <row r="100" spans="4:7" x14ac:dyDescent="0.3">
      <c r="D100" s="10" t="s">
        <v>549</v>
      </c>
      <c r="E100" s="10">
        <v>290</v>
      </c>
    </row>
    <row r="101" spans="4:7" x14ac:dyDescent="0.3">
      <c r="D101" s="10" t="s">
        <v>550</v>
      </c>
      <c r="E101" s="10">
        <v>219</v>
      </c>
    </row>
    <row r="102" spans="4:7" x14ac:dyDescent="0.3">
      <c r="D102" s="10" t="s">
        <v>551</v>
      </c>
      <c r="E102" s="10">
        <v>319</v>
      </c>
    </row>
    <row r="103" spans="4:7" x14ac:dyDescent="0.3">
      <c r="D103" s="10" t="s">
        <v>555</v>
      </c>
      <c r="E103" s="10">
        <v>789</v>
      </c>
    </row>
    <row r="104" spans="4:7" x14ac:dyDescent="0.3">
      <c r="D104" s="10" t="s">
        <v>556</v>
      </c>
      <c r="E104" s="10">
        <v>890</v>
      </c>
    </row>
    <row r="105" spans="4:7" x14ac:dyDescent="0.3">
      <c r="D105" s="10" t="s">
        <v>569</v>
      </c>
      <c r="E105" s="10">
        <v>900</v>
      </c>
    </row>
    <row r="106" spans="4:7" x14ac:dyDescent="0.3">
      <c r="D106" s="10" t="s">
        <v>573</v>
      </c>
      <c r="E106" s="10">
        <v>456</v>
      </c>
    </row>
    <row r="107" spans="4:7" x14ac:dyDescent="0.3">
      <c r="D107" s="10" t="s">
        <v>576</v>
      </c>
      <c r="E107" s="10">
        <v>0</v>
      </c>
    </row>
    <row r="108" spans="4:7" x14ac:dyDescent="0.3">
      <c r="D108" s="10" t="s">
        <v>577</v>
      </c>
      <c r="E108" s="10">
        <v>789</v>
      </c>
    </row>
    <row r="109" spans="4:7" x14ac:dyDescent="0.3">
      <c r="D109" s="10"/>
      <c r="E109" s="10"/>
    </row>
    <row r="110" spans="4:7" x14ac:dyDescent="0.3">
      <c r="D110" s="10"/>
      <c r="E110" s="10"/>
    </row>
    <row r="114" spans="4:5" x14ac:dyDescent="0.3">
      <c r="D114" s="103" t="s">
        <v>107</v>
      </c>
      <c r="E114" s="104" t="s">
        <v>547</v>
      </c>
    </row>
    <row r="115" spans="4:5" x14ac:dyDescent="0.3">
      <c r="D115" s="99" t="s">
        <v>548</v>
      </c>
      <c r="E115" s="100">
        <v>342</v>
      </c>
    </row>
    <row r="116" spans="4:5" x14ac:dyDescent="0.3">
      <c r="D116" s="99" t="s">
        <v>549</v>
      </c>
      <c r="E116" s="100">
        <v>290</v>
      </c>
    </row>
    <row r="117" spans="4:5" x14ac:dyDescent="0.3">
      <c r="D117" s="99" t="s">
        <v>550</v>
      </c>
      <c r="E117" s="100">
        <v>219</v>
      </c>
    </row>
    <row r="118" spans="4:5" x14ac:dyDescent="0.3">
      <c r="D118" s="99" t="s">
        <v>551</v>
      </c>
      <c r="E118" s="100">
        <v>319</v>
      </c>
    </row>
    <row r="119" spans="4:5" x14ac:dyDescent="0.3">
      <c r="D119" s="99" t="s">
        <v>555</v>
      </c>
      <c r="E119" s="100">
        <v>789</v>
      </c>
    </row>
    <row r="120" spans="4:5" x14ac:dyDescent="0.3">
      <c r="D120" s="99" t="s">
        <v>556</v>
      </c>
      <c r="E120" s="100">
        <v>890</v>
      </c>
    </row>
    <row r="121" spans="4:5" x14ac:dyDescent="0.3">
      <c r="D121" s="99" t="s">
        <v>569</v>
      </c>
      <c r="E121" s="100">
        <v>900</v>
      </c>
    </row>
    <row r="122" spans="4:5" x14ac:dyDescent="0.3">
      <c r="D122" s="99" t="s">
        <v>573</v>
      </c>
      <c r="E122" s="100">
        <v>456</v>
      </c>
    </row>
    <row r="123" spans="4:5" x14ac:dyDescent="0.3">
      <c r="D123" s="99" t="s">
        <v>576</v>
      </c>
      <c r="E123" s="100">
        <v>0</v>
      </c>
    </row>
    <row r="124" spans="4:5" x14ac:dyDescent="0.3">
      <c r="D124" s="101" t="s">
        <v>577</v>
      </c>
      <c r="E124" s="102">
        <v>789</v>
      </c>
    </row>
    <row r="125" spans="4:5" x14ac:dyDescent="0.3">
      <c r="D125" s="101" t="s">
        <v>578</v>
      </c>
      <c r="E125" s="102">
        <v>678</v>
      </c>
    </row>
    <row r="126" spans="4:5" x14ac:dyDescent="0.3">
      <c r="D126" s="10"/>
      <c r="E126" s="10"/>
    </row>
    <row r="127" spans="4:5" x14ac:dyDescent="0.3">
      <c r="D127" s="10"/>
      <c r="E127" s="10"/>
    </row>
    <row r="130" spans="2:6" ht="18" x14ac:dyDescent="0.35">
      <c r="B130" s="105" t="s">
        <v>579</v>
      </c>
      <c r="C130" s="4"/>
      <c r="F130" t="s">
        <v>584</v>
      </c>
    </row>
    <row r="131" spans="2:6" x14ac:dyDescent="0.3">
      <c r="F131" t="s">
        <v>585</v>
      </c>
    </row>
    <row r="133" spans="2:6" x14ac:dyDescent="0.3">
      <c r="C133" s="39" t="s">
        <v>580</v>
      </c>
    </row>
    <row r="135" spans="2:6" x14ac:dyDescent="0.3">
      <c r="C135" s="75" t="s">
        <v>107</v>
      </c>
      <c r="D135" t="s">
        <v>362</v>
      </c>
      <c r="E135" t="s">
        <v>583</v>
      </c>
      <c r="F135" t="s">
        <v>360</v>
      </c>
    </row>
    <row r="136" spans="2:6" x14ac:dyDescent="0.3">
      <c r="C136" s="76" t="s">
        <v>510</v>
      </c>
      <c r="D136" s="106">
        <v>104351</v>
      </c>
      <c r="E136" s="106"/>
      <c r="F136" s="107"/>
    </row>
    <row r="137" spans="2:6" x14ac:dyDescent="0.3">
      <c r="C137" s="76" t="s">
        <v>511</v>
      </c>
      <c r="D137" s="106">
        <v>124237</v>
      </c>
      <c r="E137" s="106">
        <v>19886</v>
      </c>
      <c r="F137" s="107">
        <v>0.19056837021207271</v>
      </c>
    </row>
    <row r="138" spans="2:6" x14ac:dyDescent="0.3">
      <c r="C138" s="76" t="s">
        <v>512</v>
      </c>
      <c r="D138" s="106">
        <v>102605</v>
      </c>
      <c r="E138" s="106">
        <v>-21632</v>
      </c>
      <c r="F138" s="107">
        <v>-0.1741188212851244</v>
      </c>
    </row>
    <row r="139" spans="2:6" x14ac:dyDescent="0.3">
      <c r="C139" s="76" t="s">
        <v>513</v>
      </c>
      <c r="D139" s="106">
        <v>123379</v>
      </c>
      <c r="E139" s="106">
        <v>20774</v>
      </c>
      <c r="F139" s="107">
        <v>0.20246576677549827</v>
      </c>
    </row>
    <row r="140" spans="2:6" x14ac:dyDescent="0.3">
      <c r="C140" s="76" t="s">
        <v>514</v>
      </c>
      <c r="D140" s="106">
        <v>139398</v>
      </c>
      <c r="E140" s="106">
        <v>16019</v>
      </c>
      <c r="F140" s="107">
        <v>0.12983570948054368</v>
      </c>
    </row>
    <row r="141" spans="2:6" x14ac:dyDescent="0.3">
      <c r="C141" s="76" t="s">
        <v>515</v>
      </c>
      <c r="D141" s="106">
        <v>154033</v>
      </c>
      <c r="E141" s="106">
        <v>14635</v>
      </c>
      <c r="F141" s="107">
        <v>0.10498715906971405</v>
      </c>
    </row>
    <row r="142" spans="2:6" x14ac:dyDescent="0.3">
      <c r="C142" s="76" t="s">
        <v>516</v>
      </c>
      <c r="D142" s="106">
        <v>104620</v>
      </c>
      <c r="E142" s="106">
        <v>-49413</v>
      </c>
      <c r="F142" s="107">
        <v>-0.3207948946005077</v>
      </c>
    </row>
    <row r="143" spans="2:6" x14ac:dyDescent="0.3">
      <c r="C143" s="76" t="s">
        <v>517</v>
      </c>
      <c r="D143" s="106">
        <v>129319</v>
      </c>
      <c r="E143" s="106">
        <v>24699</v>
      </c>
      <c r="F143" s="107">
        <v>0.23608296692792965</v>
      </c>
    </row>
    <row r="144" spans="2:6" x14ac:dyDescent="0.3">
      <c r="C144" s="76" t="s">
        <v>518</v>
      </c>
      <c r="D144" s="106">
        <v>84208</v>
      </c>
      <c r="E144" s="106">
        <v>-45111</v>
      </c>
      <c r="F144" s="107">
        <v>-0.34883505130723252</v>
      </c>
    </row>
    <row r="145" spans="3:6" x14ac:dyDescent="0.3">
      <c r="C145" s="76" t="s">
        <v>519</v>
      </c>
      <c r="D145" s="106">
        <v>114448</v>
      </c>
      <c r="E145" s="106">
        <v>30240</v>
      </c>
      <c r="F145" s="107">
        <v>0.35911077332319968</v>
      </c>
    </row>
    <row r="146" spans="3:6" x14ac:dyDescent="0.3">
      <c r="C146" s="76" t="s">
        <v>520</v>
      </c>
      <c r="D146" s="106">
        <v>96983</v>
      </c>
      <c r="E146" s="106">
        <v>-17465</v>
      </c>
      <c r="F146" s="107">
        <v>-0.15260205508178387</v>
      </c>
    </row>
    <row r="147" spans="3:6" x14ac:dyDescent="0.3">
      <c r="C147" s="76" t="s">
        <v>521</v>
      </c>
      <c r="D147" s="106">
        <v>118209</v>
      </c>
      <c r="E147" s="106">
        <v>21226</v>
      </c>
      <c r="F147" s="107">
        <v>0.21886309971850737</v>
      </c>
    </row>
    <row r="148" spans="3:6" x14ac:dyDescent="0.3">
      <c r="C148" s="76" t="s">
        <v>359</v>
      </c>
      <c r="D148" s="106">
        <v>1395790</v>
      </c>
      <c r="E148" s="106"/>
      <c r="F148" s="107"/>
    </row>
    <row r="152" spans="3:6" x14ac:dyDescent="0.3">
      <c r="C152" s="75" t="s">
        <v>360</v>
      </c>
      <c r="D152" s="75" t="s">
        <v>361</v>
      </c>
    </row>
    <row r="153" spans="3:6" x14ac:dyDescent="0.3">
      <c r="C153" s="75" t="s">
        <v>358</v>
      </c>
      <c r="D153" t="s">
        <v>581</v>
      </c>
      <c r="E153" t="s">
        <v>582</v>
      </c>
      <c r="F153" t="s">
        <v>359</v>
      </c>
    </row>
    <row r="154" spans="3:6" x14ac:dyDescent="0.3">
      <c r="C154" s="76" t="s">
        <v>370</v>
      </c>
      <c r="D154" s="106">
        <v>136088</v>
      </c>
      <c r="E154" s="106">
        <v>157816</v>
      </c>
      <c r="F154" s="106">
        <v>293904</v>
      </c>
    </row>
    <row r="155" spans="3:6" x14ac:dyDescent="0.3">
      <c r="C155" s="76" t="s">
        <v>332</v>
      </c>
      <c r="D155" s="106">
        <v>67078</v>
      </c>
      <c r="E155" s="106">
        <v>81824</v>
      </c>
      <c r="F155" s="106">
        <v>148902</v>
      </c>
    </row>
    <row r="156" spans="3:6" x14ac:dyDescent="0.3">
      <c r="C156" s="76" t="s">
        <v>373</v>
      </c>
      <c r="D156" s="106">
        <v>89719</v>
      </c>
      <c r="E156" s="106">
        <v>95577</v>
      </c>
      <c r="F156" s="106">
        <v>185296</v>
      </c>
    </row>
    <row r="157" spans="3:6" x14ac:dyDescent="0.3">
      <c r="C157" s="76" t="s">
        <v>383</v>
      </c>
      <c r="D157" s="106">
        <v>41389</v>
      </c>
      <c r="E157" s="106">
        <v>41625</v>
      </c>
      <c r="F157" s="106">
        <v>83014</v>
      </c>
    </row>
    <row r="158" spans="3:6" x14ac:dyDescent="0.3">
      <c r="C158" s="76" t="s">
        <v>343</v>
      </c>
      <c r="D158" s="106">
        <v>131002</v>
      </c>
      <c r="E158" s="106">
        <v>124814</v>
      </c>
      <c r="F158" s="106">
        <v>255816</v>
      </c>
    </row>
    <row r="159" spans="3:6" x14ac:dyDescent="0.3">
      <c r="C159" s="76" t="s">
        <v>335</v>
      </c>
      <c r="D159" s="106">
        <v>93166</v>
      </c>
      <c r="E159" s="106">
        <v>83146</v>
      </c>
      <c r="F159" s="106">
        <v>176312</v>
      </c>
    </row>
    <row r="160" spans="3:6" x14ac:dyDescent="0.3">
      <c r="C160" s="76" t="s">
        <v>376</v>
      </c>
      <c r="D160" s="106">
        <v>47031</v>
      </c>
      <c r="E160" s="106">
        <v>37179</v>
      </c>
      <c r="F160" s="106">
        <v>84210</v>
      </c>
    </row>
    <row r="161" spans="3:7" x14ac:dyDescent="0.3">
      <c r="C161" s="76" t="s">
        <v>350</v>
      </c>
      <c r="D161" s="106">
        <v>91470</v>
      </c>
      <c r="E161" s="106">
        <v>73610</v>
      </c>
      <c r="F161" s="106">
        <v>165080</v>
      </c>
    </row>
    <row r="162" spans="3:7" x14ac:dyDescent="0.3">
      <c r="C162" s="76" t="s">
        <v>359</v>
      </c>
      <c r="D162" s="106">
        <v>696943</v>
      </c>
      <c r="E162" s="106">
        <v>695591</v>
      </c>
      <c r="F162" s="106">
        <v>1392534</v>
      </c>
    </row>
    <row r="164" spans="3:7" x14ac:dyDescent="0.3">
      <c r="F164" s="110" t="s">
        <v>592</v>
      </c>
      <c r="G164" s="110"/>
    </row>
    <row r="165" spans="3:7" x14ac:dyDescent="0.3">
      <c r="C165" s="108" t="s">
        <v>586</v>
      </c>
      <c r="D165" s="108" t="s">
        <v>587</v>
      </c>
      <c r="F165" s="9" t="s">
        <v>593</v>
      </c>
      <c r="G165" s="9" t="s">
        <v>594</v>
      </c>
    </row>
    <row r="166" spans="3:7" x14ac:dyDescent="0.3">
      <c r="C166" s="109" t="s">
        <v>588</v>
      </c>
      <c r="D166" s="109" t="s">
        <v>588</v>
      </c>
      <c r="F166" s="28">
        <f>IF( ISTEXT(C166), DATE(RIGHT(C166, 4), LEFT(C166, 2), MID(C166, 4, 2) ), C166)</f>
        <v>42297</v>
      </c>
      <c r="G166" s="10"/>
    </row>
    <row r="167" spans="3:7" x14ac:dyDescent="0.3">
      <c r="C167" s="28">
        <v>41699</v>
      </c>
      <c r="D167" s="28">
        <v>41699</v>
      </c>
      <c r="F167" s="28">
        <f t="shared" ref="F167:F171" si="0">IF( ISTEXT(C167), DATE(RIGHT(C167, 4), LEFT(C167, 2), MID(C167, 4, 2) ), C167)</f>
        <v>41699</v>
      </c>
      <c r="G167" s="10"/>
    </row>
    <row r="168" spans="3:7" x14ac:dyDescent="0.3">
      <c r="C168" s="109">
        <v>41741</v>
      </c>
      <c r="D168" s="109">
        <v>41741</v>
      </c>
      <c r="F168" s="28">
        <f t="shared" si="0"/>
        <v>41741</v>
      </c>
      <c r="G168" s="10"/>
    </row>
    <row r="169" spans="3:7" x14ac:dyDescent="0.3">
      <c r="C169" s="28" t="s">
        <v>589</v>
      </c>
      <c r="D169" s="28" t="s">
        <v>589</v>
      </c>
      <c r="F169" s="28">
        <f t="shared" si="0"/>
        <v>42089</v>
      </c>
      <c r="G169" s="10"/>
    </row>
    <row r="170" spans="3:7" x14ac:dyDescent="0.3">
      <c r="C170" s="109" t="s">
        <v>590</v>
      </c>
      <c r="D170" s="109" t="s">
        <v>590</v>
      </c>
      <c r="F170" s="28">
        <f t="shared" si="0"/>
        <v>42304</v>
      </c>
      <c r="G170" s="10"/>
    </row>
    <row r="171" spans="3:7" x14ac:dyDescent="0.3">
      <c r="C171" s="28" t="s">
        <v>591</v>
      </c>
      <c r="D171" s="28" t="s">
        <v>591</v>
      </c>
      <c r="F171" s="28">
        <f t="shared" si="0"/>
        <v>42147</v>
      </c>
      <c r="G171" s="10"/>
    </row>
  </sheetData>
  <mergeCells count="1">
    <mergeCell ref="F164:G164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Class-2</vt:lpstr>
      <vt:lpstr>Class-3</vt:lpstr>
      <vt:lpstr>Class-4</vt:lpstr>
      <vt:lpstr>Raw Data</vt:lpstr>
      <vt:lpstr>Pivot tables solutions</vt:lpstr>
      <vt:lpstr>More on Pivot tables</vt:lpstr>
      <vt:lpstr>Class-5</vt:lpstr>
      <vt:lpstr>Months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.</dc:creator>
  <cp:lastModifiedBy>Mehak .</cp:lastModifiedBy>
  <dcterms:created xsi:type="dcterms:W3CDTF">2025-08-25T04:54:50Z</dcterms:created>
  <dcterms:modified xsi:type="dcterms:W3CDTF">2025-09-01T07:41:45Z</dcterms:modified>
</cp:coreProperties>
</file>