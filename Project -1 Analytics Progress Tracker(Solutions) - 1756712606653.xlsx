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\My DVA Content\Morning Batch Aug2025\Excel\"/>
    </mc:Choice>
  </mc:AlternateContent>
  <xr:revisionPtr revIDLastSave="0" documentId="8_{FB4A84E2-EF6E-4BD8-BD7D-6788BB53635A}" xr6:coauthVersionLast="47" xr6:coauthVersionMax="47" xr10:uidLastSave="{00000000-0000-0000-0000-000000000000}"/>
  <bookViews>
    <workbookView xWindow="-108" yWindow="-108" windowWidth="23256" windowHeight="12456" tabRatio="739" firstSheet="1" activeTab="6" xr2:uid="{8691B555-4261-6F4A-BBD4-4407515A4FB5}"/>
  </bookViews>
  <sheets>
    <sheet name="Visualization" sheetId="2" state="hidden" r:id="rId1"/>
    <sheet name="Demo" sheetId="20" r:id="rId2"/>
    <sheet name="Excel Syllabus Data" sheetId="17" r:id="rId3"/>
    <sheet name="Goals Data" sheetId="16" r:id="rId4"/>
    <sheet name="Progress Summary" sheetId="14" r:id="rId5"/>
    <sheet name="Study Hours Data" sheetId="13" r:id="rId6"/>
    <sheet name="Progress Dashboard" sheetId="19" r:id="rId7"/>
  </sheets>
  <definedNames>
    <definedName name="_xlnm._FilterDatabase" localSheetId="5" hidden="1">'Study Hours Data'!$A$1:$F$33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9" l="1"/>
  <c r="I14" i="19"/>
  <c r="F2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C3" i="13"/>
  <c r="C4" i="13" s="1"/>
  <c r="C24" i="14"/>
  <c r="C23" i="14"/>
  <c r="C22" i="14"/>
  <c r="C17" i="14"/>
  <c r="C16" i="14"/>
  <c r="C15" i="14"/>
  <c r="C6" i="14"/>
  <c r="C9" i="14" s="1"/>
  <c r="C11" i="14" s="1"/>
  <c r="C4" i="14"/>
  <c r="C3" i="14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2" i="13"/>
  <c r="B4" i="16"/>
  <c r="B5" i="16" s="1"/>
  <c r="C7" i="14" s="1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2" i="13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2" i="17"/>
  <c r="L52" i="20"/>
  <c r="K52" i="20"/>
  <c r="J52" i="20"/>
  <c r="G51" i="20"/>
  <c r="G52" i="20"/>
  <c r="G53" i="20"/>
  <c r="G54" i="20"/>
  <c r="G55" i="20"/>
  <c r="G56" i="20"/>
  <c r="G57" i="20"/>
  <c r="G58" i="20"/>
  <c r="L39" i="20"/>
  <c r="K44" i="20"/>
  <c r="K43" i="20"/>
  <c r="K42" i="20"/>
  <c r="K39" i="20"/>
  <c r="J39" i="20"/>
  <c r="G39" i="20"/>
  <c r="C37" i="20"/>
  <c r="F27" i="20"/>
  <c r="G59" i="20"/>
  <c r="O52" i="20"/>
  <c r="C59" i="20"/>
  <c r="C58" i="20"/>
  <c r="C8" i="14" l="1"/>
  <c r="C5" i="14"/>
  <c r="C10" i="14" s="1"/>
  <c r="B12" i="14" s="1" a="1"/>
  <c r="B12" i="14" s="1"/>
  <c r="F4" i="13"/>
  <c r="C5" i="13"/>
  <c r="F3" i="13"/>
  <c r="P52" i="20"/>
  <c r="O49" i="20"/>
  <c r="C61" i="20"/>
  <c r="F5" i="13" l="1"/>
  <c r="C6" i="13"/>
  <c r="C7" i="13" l="1"/>
  <c r="F6" i="13"/>
  <c r="C8" i="13" l="1"/>
  <c r="F7" i="13"/>
  <c r="C9" i="13" l="1"/>
  <c r="F8" i="13"/>
  <c r="C10" i="13" l="1"/>
  <c r="F9" i="13"/>
  <c r="C11" i="13" l="1"/>
  <c r="F10" i="13"/>
  <c r="C12" i="13" l="1"/>
  <c r="F11" i="13"/>
  <c r="C13" i="13" l="1"/>
  <c r="F12" i="13"/>
  <c r="C14" i="13" l="1"/>
  <c r="F13" i="13"/>
  <c r="C15" i="13" l="1"/>
  <c r="F14" i="13"/>
  <c r="C16" i="13" l="1"/>
  <c r="F15" i="13"/>
  <c r="C17" i="13" l="1"/>
  <c r="F16" i="13"/>
  <c r="C18" i="13" l="1"/>
  <c r="F17" i="13"/>
  <c r="C19" i="13" l="1"/>
  <c r="F19" i="13" s="1"/>
  <c r="F18" i="13"/>
  <c r="C42" i="14" l="1"/>
  <c r="C43" i="14"/>
  <c r="B38" i="14"/>
  <c r="B40" i="14"/>
  <c r="B39" i="14"/>
  <c r="D39" i="14" s="1"/>
  <c r="C38" i="14"/>
  <c r="C39" i="14"/>
  <c r="C40" i="14"/>
  <c r="C37" i="14"/>
  <c r="B43" i="14"/>
  <c r="D43" i="14" s="1"/>
  <c r="B42" i="14"/>
  <c r="D42" i="14" s="1"/>
  <c r="B37" i="14"/>
  <c r="D37" i="14" s="1"/>
  <c r="B41" i="14"/>
  <c r="C41" i="14"/>
  <c r="D41" i="14" l="1"/>
  <c r="D40" i="14"/>
  <c r="D38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<sst xmlns="http://schemas.openxmlformats.org/spreadsheetml/2006/main" count="390" uniqueCount="322">
  <si>
    <t>Date</t>
  </si>
  <si>
    <t>Litre</t>
  </si>
  <si>
    <t>Overall</t>
  </si>
  <si>
    <t>Current</t>
  </si>
  <si>
    <t>Available Days</t>
  </si>
  <si>
    <t>Study Goal</t>
  </si>
  <si>
    <t>Category</t>
  </si>
  <si>
    <t>Topic</t>
  </si>
  <si>
    <t>Concepts</t>
  </si>
  <si>
    <t>Intro to Excel</t>
  </si>
  <si>
    <t>Workbook, worksheets, rows, columns, cells, and ranges</t>
  </si>
  <si>
    <t>Commonly used shortcut keys</t>
  </si>
  <si>
    <t>Data Gathering</t>
  </si>
  <si>
    <t>Structured Data</t>
  </si>
  <si>
    <t>What is structured data?</t>
  </si>
  <si>
    <t>Importing Data</t>
  </si>
  <si>
    <t>Using Get data feature</t>
  </si>
  <si>
    <t>Handling JSON</t>
  </si>
  <si>
    <t>Data Types</t>
  </si>
  <si>
    <t>Data Validation</t>
  </si>
  <si>
    <t>Restricting data entries for data correctness</t>
  </si>
  <si>
    <t>Custom data validations</t>
  </si>
  <si>
    <t>Remove Duplicates (Dealing with Duplicates)</t>
  </si>
  <si>
    <t>Transpose</t>
  </si>
  <si>
    <t>Text to Columns</t>
  </si>
  <si>
    <t>Data Preparation</t>
  </si>
  <si>
    <t>Formatting</t>
  </si>
  <si>
    <t>What is formatting?</t>
  </si>
  <si>
    <t>Various formatting options (Text Font, Text Alignment etc..)</t>
  </si>
  <si>
    <t>Number formatting</t>
  </si>
  <si>
    <t>Custom number formats</t>
  </si>
  <si>
    <t>Date &amp; Time Formatting</t>
  </si>
  <si>
    <t>Custom Date &amp; Time formats</t>
  </si>
  <si>
    <t>Conditional Formatting</t>
  </si>
  <si>
    <t>Basic conditional formatting options</t>
  </si>
  <si>
    <t>Custom conditional formatting</t>
  </si>
  <si>
    <t>Paste Special</t>
  </si>
  <si>
    <t>Copy-paste-paste special</t>
  </si>
  <si>
    <t>Sort and Filter</t>
  </si>
  <si>
    <t>Quick sort</t>
  </si>
  <si>
    <t>Custom sort</t>
  </si>
  <si>
    <t>Filters</t>
  </si>
  <si>
    <t>Named Range - Overview</t>
  </si>
  <si>
    <t>Static named range</t>
  </si>
  <si>
    <t>Dynamic named ranges using OFFSET and COUNTA</t>
  </si>
  <si>
    <t>Cell References</t>
  </si>
  <si>
    <t>Relative</t>
  </si>
  <si>
    <t>Absolute</t>
  </si>
  <si>
    <t>Text / string functions</t>
  </si>
  <si>
    <t>LEFT</t>
  </si>
  <si>
    <t>RIGHT</t>
  </si>
  <si>
    <t>MID</t>
  </si>
  <si>
    <t>CONCATENATE</t>
  </si>
  <si>
    <t>TRIM</t>
  </si>
  <si>
    <t>SUBSTITUTE</t>
  </si>
  <si>
    <t>VALUE</t>
  </si>
  <si>
    <t>TEXT</t>
  </si>
  <si>
    <t>Data Analysis</t>
  </si>
  <si>
    <t>Logical functions</t>
  </si>
  <si>
    <t>IF</t>
  </si>
  <si>
    <t>AND, OR</t>
  </si>
  <si>
    <t>NOT</t>
  </si>
  <si>
    <t>IFERROR</t>
  </si>
  <si>
    <t>IFNA</t>
  </si>
  <si>
    <t>Math  functions</t>
  </si>
  <si>
    <t>SUM</t>
  </si>
  <si>
    <t>SUMIF, SUMIFS  (conditional sum)</t>
  </si>
  <si>
    <t>SUMPRODUCT</t>
  </si>
  <si>
    <t>ROUND</t>
  </si>
  <si>
    <t>MOD</t>
  </si>
  <si>
    <t>Statistical functions</t>
  </si>
  <si>
    <t>AVERAGE</t>
  </si>
  <si>
    <t>MIN</t>
  </si>
  <si>
    <t>MAX</t>
  </si>
  <si>
    <t>Counting functions</t>
  </si>
  <si>
    <t>COUNT</t>
  </si>
  <si>
    <t>COUNTA</t>
  </si>
  <si>
    <t>COUNTBLANK</t>
  </si>
  <si>
    <t>COUNTIF</t>
  </si>
  <si>
    <t>COUNTIFS</t>
  </si>
  <si>
    <t>Lookup and reference functions</t>
  </si>
  <si>
    <t>INDEX &amp; MATCH</t>
  </si>
  <si>
    <t>INDIRECT</t>
  </si>
  <si>
    <t>OFFSET</t>
  </si>
  <si>
    <t>TRANSPOSE</t>
  </si>
  <si>
    <t>HYPERLINK</t>
  </si>
  <si>
    <t>Date functions</t>
  </si>
  <si>
    <t>DATE</t>
  </si>
  <si>
    <t>DATEVALUE</t>
  </si>
  <si>
    <t>TODAY</t>
  </si>
  <si>
    <t>NOW</t>
  </si>
  <si>
    <t>DAY</t>
  </si>
  <si>
    <t>MONTH</t>
  </si>
  <si>
    <t>YEAR</t>
  </si>
  <si>
    <t>WEEKDAY</t>
  </si>
  <si>
    <t>WEEKNUM</t>
  </si>
  <si>
    <t>EOMONTH</t>
  </si>
  <si>
    <t>DATEDIF</t>
  </si>
  <si>
    <t>Time functions</t>
  </si>
  <si>
    <t>Convert time to hours, minutes &amp; seconds</t>
  </si>
  <si>
    <t>Split date &amp; time to separate columns</t>
  </si>
  <si>
    <t>Convert text to time</t>
  </si>
  <si>
    <t>Convert time to text</t>
  </si>
  <si>
    <t>Pivot tables</t>
  </si>
  <si>
    <t>Introduction to Pivot tables, use and applications</t>
  </si>
  <si>
    <t>Data Analysis using Pivot Tables - use of row and column shelf, values and filters</t>
  </si>
  <si>
    <t>Difference between data layering and cross tabulation, summary reports, advantages and limitations</t>
  </si>
  <si>
    <t>Bins and Grouping and Ungrouping the data</t>
  </si>
  <si>
    <t>Creating data reports using pivot tables</t>
  </si>
  <si>
    <t>Change aggregation types and summarization</t>
  </si>
  <si>
    <t>Concept of calculated fields, usage and limitations</t>
  </si>
  <si>
    <t>Configuring Pivot Table Layouts &amp; Styles – Grand totals and subtotals, report layouts, etc.</t>
  </si>
  <si>
    <t xml:space="preserve">Power Pivot - Power Query </t>
  </si>
  <si>
    <t>Data Visualization &amp; Summary</t>
  </si>
  <si>
    <t>Basic Charts</t>
  </si>
  <si>
    <t>Basic Charts - Column/Bar, Stacked, Pie, line/area, scatterplot, doughnut etc.</t>
  </si>
  <si>
    <t>Chart properties</t>
  </si>
  <si>
    <t xml:space="preserve">How to select right chart for your data
</t>
  </si>
  <si>
    <t>Pivot tables - Charts</t>
  </si>
  <si>
    <t>Customized Charts</t>
  </si>
  <si>
    <t>Population Pyramid</t>
  </si>
  <si>
    <t>Waterfall Chart</t>
  </si>
  <si>
    <t>Dynamic Dashboards using pivot tables</t>
  </si>
  <si>
    <t>Pivot cache</t>
  </si>
  <si>
    <t>Pivot table design elements - concept of slicers and timelines - Slicer Options</t>
  </si>
  <si>
    <t>Sales dashboard using pivot options</t>
  </si>
  <si>
    <t>Making Dashboards Dynamic</t>
  </si>
  <si>
    <t>Making Dashboards more beautiful - Adding icons and images to dashboards</t>
  </si>
  <si>
    <t>Design principles for including charts in dashboards - do's and dont's</t>
  </si>
  <si>
    <t>Best practices - Tips and Tricks to enhance dashboard designing</t>
  </si>
  <si>
    <t>Coverage</t>
  </si>
  <si>
    <t>Low</t>
  </si>
  <si>
    <t>Medium</t>
  </si>
  <si>
    <t>High</t>
  </si>
  <si>
    <t>Skilled</t>
  </si>
  <si>
    <t>Rookie</t>
  </si>
  <si>
    <t>Legendary</t>
  </si>
  <si>
    <t>Mastery</t>
  </si>
  <si>
    <t>Score</t>
  </si>
  <si>
    <t>Deficit (Hours to cover up)</t>
  </si>
  <si>
    <t>Study Hours</t>
  </si>
  <si>
    <t>Actual (Total hours studied till now)</t>
  </si>
  <si>
    <t>Expected (Total hours that should have been done)</t>
  </si>
  <si>
    <t>Updated</t>
  </si>
  <si>
    <t>Daily Average</t>
  </si>
  <si>
    <t>Projections</t>
  </si>
  <si>
    <t>Professional</t>
  </si>
  <si>
    <t>Level of Understanding</t>
  </si>
  <si>
    <t>Rank</t>
  </si>
  <si>
    <t>Data Visualization</t>
  </si>
  <si>
    <t>Current Status</t>
  </si>
  <si>
    <t>Data Competency: Excel</t>
  </si>
  <si>
    <t>Average Study Hours</t>
  </si>
  <si>
    <t>Monday</t>
  </si>
  <si>
    <t>Tuesday</t>
  </si>
  <si>
    <t>Wednesday</t>
  </si>
  <si>
    <t>Thursday</t>
  </si>
  <si>
    <t>Friday</t>
  </si>
  <si>
    <t>Saturday</t>
  </si>
  <si>
    <t>Sunday</t>
  </si>
  <si>
    <t>Day</t>
  </si>
  <si>
    <t>Total Study Hours</t>
  </si>
  <si>
    <t>No of Day Elapsed</t>
  </si>
  <si>
    <t>Day Level Average</t>
  </si>
  <si>
    <t>Day Count</t>
  </si>
  <si>
    <t>Elapsed</t>
  </si>
  <si>
    <t>Total Available</t>
  </si>
  <si>
    <t>Remaining</t>
  </si>
  <si>
    <t>Target Hours</t>
  </si>
  <si>
    <t>Daily Goal Hours</t>
  </si>
  <si>
    <t>Skill Wise Breakdown</t>
  </si>
  <si>
    <t>Excel for Analytics</t>
  </si>
  <si>
    <t>Excels' role in each of the analysis stages</t>
  </si>
  <si>
    <t>Excel terminologies</t>
  </si>
  <si>
    <t>Excel Shortcut Keys</t>
  </si>
  <si>
    <t>Text/String, Number, Date, Boolean, Error</t>
  </si>
  <si>
    <t>Grouping-UnGrouping</t>
  </si>
  <si>
    <t>TEXTBEFORE</t>
  </si>
  <si>
    <t>TEXTAFTER</t>
  </si>
  <si>
    <t>VLOOKUP</t>
  </si>
  <si>
    <t>HLOOKUP</t>
  </si>
  <si>
    <t>Limitations of VLOOKUP &amp; HLOOKUP, XLOOKUP</t>
  </si>
  <si>
    <t>Map Chart</t>
  </si>
  <si>
    <t>Miscellaneous</t>
  </si>
  <si>
    <t>Misc Topics in Excel</t>
  </si>
  <si>
    <t>Tables</t>
  </si>
  <si>
    <t>What-if Analysis</t>
  </si>
  <si>
    <t>Subtotals</t>
  </si>
  <si>
    <t xml:space="preserve">Dynamic charts using tables </t>
  </si>
  <si>
    <t>Review tab</t>
  </si>
  <si>
    <t xml:space="preserve">Commenting </t>
  </si>
  <si>
    <t>Protection - Locking Worksheets</t>
  </si>
  <si>
    <t>Excel Addins (Data Analysis Pack etc..) - Exploratory data analysis - Descriptive Statististcs</t>
  </si>
  <si>
    <t>Formula evaluation Debugging</t>
  </si>
  <si>
    <t>Uninitiated</t>
  </si>
  <si>
    <t>Daily Hours Spent</t>
  </si>
  <si>
    <t>Total hours spent</t>
  </si>
  <si>
    <t>Day number</t>
  </si>
  <si>
    <t>Day name</t>
  </si>
  <si>
    <t>1. Add level of understanding  of the topics in column D as:</t>
  </si>
  <si>
    <t>Low, Medium, High through Data validations</t>
  </si>
  <si>
    <t>3. Assign Scores based on your level of understanding in column E</t>
  </si>
  <si>
    <t>2. Highlight low as  red, medium as yellow &amp; high as green</t>
  </si>
  <si>
    <t>=COUNTA('Study Hours Data'!$A$2:$A$33)</t>
  </si>
  <si>
    <t>=COUNTA('Study Hours Data'!$B$2:$B$33)</t>
  </si>
  <si>
    <t>=C3-C4</t>
  </si>
  <si>
    <t>= SUM('Study Hours Data'!$B$2:$B$33)</t>
  </si>
  <si>
    <t>=C4*'Goals Data'!B5</t>
  </si>
  <si>
    <t>=Actual hours covered till now / no. of days studied---&gt;C6/C4</t>
  </si>
  <si>
    <t>Custom format to add "Hours" at the end</t>
  </si>
  <si>
    <t xml:space="preserve"> custom formatting to add "days" at the end</t>
  </si>
  <si>
    <t>=IFS(C10='Goals Data'!B5,"You're on track!",C10&gt;'Goals Data'!B5,"At this rate, you'll have to spend "&amp;ROUND(C10,2)&amp;" hours daily!",C10&lt;'Goals Data'!B5,"You can do better.")</t>
  </si>
  <si>
    <t>Then do conditional formatting base on keyword as:</t>
  </si>
  <si>
    <t>better---&gt; red, track ---&gt; green , rate---&gt;yellow</t>
  </si>
  <si>
    <t>=COUNTA('Excel Syllabus Data'!D2:D102)/COUNTA('Excel Syllabus Data'!C2:C102)</t>
  </si>
  <si>
    <t>=IF(SUM('Excel Syllabus Data'!E2:E102)=0,0,SUM('Excel Syllabus Data'!E2:E102)/(100*COUNT('Excel Syllabus Data'!E2:E102)))</t>
  </si>
  <si>
    <t>=IF(C16="","Uninitiated",VLOOKUP(C16,'Goals Data'!$A$15:$B$18,2,1))</t>
  </si>
  <si>
    <t>=SUMIFS('Study Hours Data'!$B$2:$B$33,'Study Hours Data'!$F$2:$F$33, A37)</t>
  </si>
  <si>
    <t>=COUNTIF('Study Hours Data'!$F$2:$F$33, A37)</t>
  </si>
  <si>
    <t>=B37/C37</t>
  </si>
  <si>
    <t>Apply conditional formatting for different colors from red to green</t>
  </si>
  <si>
    <t>Plot the folowing:</t>
  </si>
  <si>
    <t>1. KPIs:</t>
  </si>
  <si>
    <t>a. Current Daily avg. hours</t>
  </si>
  <si>
    <t>b. Required Daily Avg. Hours</t>
  </si>
  <si>
    <t>Target</t>
  </si>
  <si>
    <t>2. Line chart to show total hours vs. target against each date</t>
  </si>
  <si>
    <t>3. Show composition analysis of  actual vs. deficit hours</t>
  </si>
  <si>
    <t>= Available days *  Current daily average----&gt; 32* C9</t>
  </si>
  <si>
    <r>
      <t xml:space="preserve">Total hours I'll complete at this rate </t>
    </r>
    <r>
      <rPr>
        <i/>
        <sz val="16"/>
        <color theme="1"/>
        <rFont val="Calibri (Body)"/>
      </rPr>
      <t>(by module end)</t>
    </r>
  </si>
  <si>
    <t>Q: Find the total hours spent in column C</t>
  </si>
  <si>
    <t>[ hint: Cummulative sum of hours]</t>
  </si>
  <si>
    <t>no. of days  you are considering( from study hours sheet, column A)</t>
  </si>
  <si>
    <t>Avg. hours to be dedicated daily = B3/B4</t>
  </si>
  <si>
    <r>
      <rPr>
        <b/>
        <i/>
        <u/>
        <sz val="12"/>
        <color rgb="FFFF0000"/>
        <rFont val="Calibri"/>
        <family val="2"/>
        <scheme val="minor"/>
      </rPr>
      <t xml:space="preserve">Company Goal: </t>
    </r>
    <r>
      <rPr>
        <sz val="12"/>
        <color rgb="FFFF0000"/>
        <rFont val="Calibri"/>
        <family val="2"/>
        <scheme val="minor"/>
      </rPr>
      <t>Product Manager wants to buid a  product to help our students track their progress w.r.t course</t>
    </r>
  </si>
  <si>
    <t xml:space="preserve">Why to prioritise this product as you might be engaged with some other work? </t>
  </si>
  <si>
    <t>Vision</t>
  </si>
  <si>
    <t>Business Priority</t>
  </si>
  <si>
    <t>Enagagement &amp; Completion Rate will increase to put in more efforts</t>
  </si>
  <si>
    <t>(How urgent it is, whats the end goal)</t>
  </si>
  <si>
    <r>
      <t>The first step is to</t>
    </r>
    <r>
      <rPr>
        <b/>
        <i/>
        <sz val="12"/>
        <color theme="1"/>
        <rFont val="Calibri"/>
        <family val="2"/>
        <scheme val="minor"/>
      </rPr>
      <t xml:space="preserve"> "DEFINE THE PROBLEM"</t>
    </r>
  </si>
  <si>
    <t>All we know is what product manager wants. How  and what more info you will fetch?</t>
  </si>
  <si>
    <t>so, we need some metrics to define the "PROGRESS" of the candidates.</t>
  </si>
  <si>
    <t>What progress to track?</t>
  </si>
  <si>
    <t>Student's progress towards data competency</t>
  </si>
  <si>
    <t xml:space="preserve">What is data competency? </t>
  </si>
  <si>
    <t>Achieving a certain skill level in all the analysis stages with a data tool</t>
  </si>
  <si>
    <t>How will student achieve this data competency?</t>
  </si>
  <si>
    <t>1. Effort (By putting in the hours &amp; doing practise)</t>
  </si>
  <si>
    <t>2. Achieving the skill level in each stages and tool</t>
  </si>
  <si>
    <t>We have to help candidate to track their Progress in terms of efforts by determining:</t>
  </si>
  <si>
    <t>a. Time reqiured to be dedicated</t>
  </si>
  <si>
    <t>b. Actual time spent</t>
  </si>
  <si>
    <t xml:space="preserve">Thus, we can also say: </t>
  </si>
  <si>
    <t xml:space="preserve">a. Goal: </t>
  </si>
  <si>
    <t>150 hours</t>
  </si>
  <si>
    <t>ACTUAL vs. ACHIEVED ANALYSIS</t>
  </si>
  <si>
    <t xml:space="preserve">b. Time: </t>
  </si>
  <si>
    <t>58 days</t>
  </si>
  <si>
    <t xml:space="preserve">Thus, Daily hours to dedicate: </t>
  </si>
  <si>
    <t>daily</t>
  </si>
  <si>
    <t>Total Days</t>
  </si>
  <si>
    <t>Days Elasped</t>
  </si>
  <si>
    <t>(Let's Say)</t>
  </si>
  <si>
    <t>Thus, Days Left</t>
  </si>
  <si>
    <t>hours/day</t>
  </si>
  <si>
    <t>TARGET VS. ACTUAL ANALYSIS</t>
  </si>
  <si>
    <t>Hours spent</t>
  </si>
  <si>
    <t>How much are we studying per day?</t>
  </si>
  <si>
    <t>How much should we study per day to achieve our goal?</t>
  </si>
  <si>
    <t>Expected hours</t>
  </si>
  <si>
    <t>Progress</t>
  </si>
  <si>
    <t>Remark</t>
  </si>
  <si>
    <t>Goal (hrs)</t>
  </si>
  <si>
    <t>Average(hrs)</t>
  </si>
  <si>
    <t>Total</t>
  </si>
  <si>
    <t>target</t>
  </si>
  <si>
    <t>actual</t>
  </si>
  <si>
    <t>Thus, from the above dates table:</t>
  </si>
  <si>
    <t>Days Done</t>
  </si>
  <si>
    <t>Hours left</t>
  </si>
  <si>
    <t>Days left</t>
  </si>
  <si>
    <t>Beginner</t>
  </si>
  <si>
    <t>Intermediate</t>
  </si>
  <si>
    <t>Progress in terms of skill level</t>
  </si>
  <si>
    <t>Expert</t>
  </si>
  <si>
    <t>Scores</t>
  </si>
  <si>
    <t>Data Collection</t>
  </si>
  <si>
    <t>TOPICS</t>
  </si>
  <si>
    <t>MARKS</t>
  </si>
  <si>
    <t>GRADE</t>
  </si>
  <si>
    <t>Data Cleaning</t>
  </si>
  <si>
    <t>Data Visulaization</t>
  </si>
  <si>
    <t>Building Reports | Dashboards</t>
  </si>
  <si>
    <t>COVERAGE = total topics covered by candidate / total topics in syllabus</t>
  </si>
  <si>
    <t>Advanc Excel</t>
  </si>
  <si>
    <t>PIVOT TABLES</t>
  </si>
  <si>
    <t>MASTERY =  marks scored / total marks</t>
  </si>
  <si>
    <t>CHARTS</t>
  </si>
  <si>
    <t>where total marks can be no. of topics * 100</t>
  </si>
  <si>
    <t>TEXT FUNCTIONS</t>
  </si>
  <si>
    <t>where 100 is maximum marks in each topic</t>
  </si>
  <si>
    <t xml:space="preserve">Max. marks = </t>
  </si>
  <si>
    <t>FORMATTINGS</t>
  </si>
  <si>
    <t xml:space="preserve">Scores = </t>
  </si>
  <si>
    <t xml:space="preserve">Completed % = </t>
  </si>
  <si>
    <t>Unit:</t>
  </si>
  <si>
    <t xml:space="preserve">For 4 days data, you need to cover 12 hours </t>
  </si>
  <si>
    <t>in total, i.e. daily dedicate 3 hrs.</t>
  </si>
  <si>
    <t>Level</t>
  </si>
  <si>
    <t>Example:</t>
  </si>
  <si>
    <t>=C7 - C6</t>
  </si>
  <si>
    <t>=(Total hours - Actual Hours completed)/ remaining days</t>
  </si>
  <si>
    <t>(Let's say)</t>
  </si>
  <si>
    <t>Add data bars for coverage &amp; mastry and give text colors to rank such as legendry black, rookie yellow etc…</t>
  </si>
  <si>
    <t>Actual hours completed</t>
  </si>
  <si>
    <t>DVA</t>
  </si>
  <si>
    <t>100 hrs</t>
  </si>
  <si>
    <t>you are doing well!</t>
  </si>
  <si>
    <t>Dates</t>
  </si>
  <si>
    <t>hours spent</t>
  </si>
  <si>
    <r>
      <rPr>
        <b/>
        <i/>
        <sz val="18"/>
        <color theme="1"/>
        <rFont val="Calibri"/>
        <family val="2"/>
        <scheme val="minor"/>
      </rPr>
      <t>KPI:</t>
    </r>
    <r>
      <rPr>
        <sz val="18"/>
        <color theme="1"/>
        <rFont val="Calibri"/>
        <family val="2"/>
        <scheme val="minor"/>
      </rPr>
      <t xml:space="preserve"> Key Performance Indicators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</si>
</sst>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F800]dddd\,\ mmmm\ dd\,\ yyyy"/>
    <numFmt numFmtId="165" formatCode="0.0"/>
    <numFmt numFmtId="166" formatCode="[$-809]dd\ mmmm\ yyyy;@"/>
    <numFmt numFmtId="167" formatCode="0.0%"/>
    <numFmt numFmtId="168" formatCode="0\ &quot;days&quot;"/>
    <numFmt numFmtId="169" formatCode="0\ &quot;hrs&quot;"/>
    <numFmt numFmtId="170" formatCode="0.00\ &quot;hrs&quot;"/>
  </numFmts>
  <fonts count="2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i/>
      <sz val="16"/>
      <color theme="1"/>
      <name val="Calibri (Body)"/>
    </font>
    <font>
      <b/>
      <i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3" tint="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4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2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5" borderId="28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5" borderId="28" xfId="0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5" borderId="12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0" fillId="0" borderId="13" xfId="0" applyBorder="1"/>
    <xf numFmtId="0" fontId="6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30" xfId="0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4" fontId="0" fillId="0" borderId="1" xfId="0" applyNumberFormat="1" applyBorder="1"/>
    <xf numFmtId="9" fontId="10" fillId="0" borderId="0" xfId="1" applyFont="1"/>
    <xf numFmtId="0" fontId="10" fillId="0" borderId="0" xfId="0" applyFont="1"/>
    <xf numFmtId="0" fontId="0" fillId="0" borderId="0" xfId="0" quotePrefix="1"/>
    <xf numFmtId="9" fontId="3" fillId="0" borderId="0" xfId="1" quotePrefix="1" applyFont="1" applyAlignment="1">
      <alignment horizontal="left" vertical="top"/>
    </xf>
    <xf numFmtId="0" fontId="3" fillId="0" borderId="0" xfId="0" quotePrefix="1" applyFont="1"/>
    <xf numFmtId="9" fontId="3" fillId="0" borderId="0" xfId="1" quotePrefix="1" applyFont="1" applyAlignment="1">
      <alignment vertical="top"/>
    </xf>
    <xf numFmtId="0" fontId="3" fillId="0" borderId="0" xfId="0" quotePrefix="1" applyFont="1" applyAlignment="1">
      <alignment horizontal="left" vertical="top"/>
    </xf>
    <xf numFmtId="9" fontId="3" fillId="0" borderId="0" xfId="1" quotePrefix="1" applyFont="1"/>
    <xf numFmtId="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7" xfId="0" applyFont="1" applyBorder="1"/>
    <xf numFmtId="0" fontId="4" fillId="0" borderId="1" xfId="0" applyFont="1" applyBorder="1"/>
    <xf numFmtId="0" fontId="4" fillId="0" borderId="0" xfId="0" applyFont="1"/>
    <xf numFmtId="0" fontId="4" fillId="0" borderId="11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/>
    <xf numFmtId="0" fontId="16" fillId="0" borderId="0" xfId="0" applyFont="1"/>
    <xf numFmtId="0" fontId="0" fillId="0" borderId="15" xfId="0" applyBorder="1"/>
    <xf numFmtId="165" fontId="0" fillId="0" borderId="0" xfId="0" applyNumberFormat="1"/>
    <xf numFmtId="0" fontId="19" fillId="0" borderId="0" xfId="0" applyFont="1"/>
    <xf numFmtId="0" fontId="0" fillId="0" borderId="1" xfId="0" applyBorder="1" applyAlignment="1">
      <alignment horizontal="left"/>
    </xf>
    <xf numFmtId="0" fontId="17" fillId="0" borderId="0" xfId="0" applyFont="1"/>
    <xf numFmtId="0" fontId="20" fillId="0" borderId="1" xfId="0" applyFont="1" applyBorder="1" applyAlignment="1">
      <alignment horizontal="center"/>
    </xf>
    <xf numFmtId="0" fontId="1" fillId="0" borderId="1" xfId="0" applyFont="1" applyBorder="1"/>
    <xf numFmtId="9" fontId="0" fillId="0" borderId="1" xfId="0" applyNumberForma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/>
    <xf numFmtId="9" fontId="0" fillId="0" borderId="1" xfId="1" applyFont="1" applyBorder="1"/>
    <xf numFmtId="167" fontId="0" fillId="0" borderId="0" xfId="1" applyNumberFormat="1" applyFont="1"/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20" xfId="1" applyNumberFormat="1" applyFont="1" applyBorder="1" applyAlignment="1">
      <alignment horizontal="center" vertical="center"/>
    </xf>
    <xf numFmtId="0" fontId="9" fillId="0" borderId="15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31" xfId="1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18" fillId="0" borderId="0" xfId="0" applyNumberFormat="1" applyFont="1" applyAlignment="1">
      <alignment horizontal="left"/>
    </xf>
    <xf numFmtId="0" fontId="21" fillId="0" borderId="0" xfId="0" applyFont="1"/>
    <xf numFmtId="0" fontId="0" fillId="6" borderId="1" xfId="0" applyFill="1" applyBorder="1" applyAlignment="1">
      <alignment horizontal="center"/>
    </xf>
    <xf numFmtId="0" fontId="0" fillId="0" borderId="8" xfId="0" applyBorder="1"/>
    <xf numFmtId="0" fontId="0" fillId="10" borderId="1" xfId="0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9" fontId="0" fillId="0" borderId="8" xfId="1" applyFont="1" applyBorder="1"/>
    <xf numFmtId="0" fontId="0" fillId="0" borderId="7" xfId="0" applyBorder="1"/>
    <xf numFmtId="0" fontId="21" fillId="0" borderId="0" xfId="0" applyFont="1" applyAlignment="1">
      <alignment horizontal="left" vertical="top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8" fontId="4" fillId="0" borderId="1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7" xfId="0" applyNumberFormat="1" applyFont="1" applyBorder="1" applyAlignment="1">
      <alignment horizontal="center" vertical="center"/>
    </xf>
    <xf numFmtId="169" fontId="4" fillId="0" borderId="11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70" fontId="4" fillId="0" borderId="16" xfId="0" applyNumberFormat="1" applyFont="1" applyBorder="1" applyAlignment="1">
      <alignment horizontal="center" vertical="center"/>
    </xf>
    <xf numFmtId="170" fontId="4" fillId="0" borderId="17" xfId="0" applyNumberFormat="1" applyFont="1" applyBorder="1" applyAlignment="1">
      <alignment horizontal="center" vertical="center"/>
    </xf>
    <xf numFmtId="170" fontId="4" fillId="0" borderId="11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36" xfId="0" applyFont="1" applyBorder="1"/>
    <xf numFmtId="0" fontId="22" fillId="0" borderId="31" xfId="0" applyFont="1" applyBorder="1"/>
    <xf numFmtId="0" fontId="14" fillId="0" borderId="31" xfId="0" applyFont="1" applyBorder="1"/>
    <xf numFmtId="0" fontId="14" fillId="0" borderId="5" xfId="0" applyFont="1" applyBorder="1"/>
    <xf numFmtId="0" fontId="22" fillId="0" borderId="26" xfId="0" applyFont="1" applyBorder="1"/>
    <xf numFmtId="0" fontId="22" fillId="0" borderId="10" xfId="0" applyFont="1" applyBorder="1"/>
    <xf numFmtId="0" fontId="14" fillId="0" borderId="10" xfId="0" applyFont="1" applyBorder="1"/>
    <xf numFmtId="0" fontId="14" fillId="0" borderId="22" xfId="0" applyFont="1" applyBorder="1"/>
    <xf numFmtId="167" fontId="4" fillId="0" borderId="1" xfId="1" applyNumberFormat="1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165" fontId="18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wrapText="1"/>
    </xf>
    <xf numFmtId="0" fontId="3" fillId="0" borderId="0" xfId="0" quotePrefix="1" applyFont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0" fontId="22" fillId="0" borderId="26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11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17" fillId="0" borderId="30" xfId="0" applyFont="1" applyBorder="1" applyAlignment="1">
      <alignment horizontal="center" vertical="center" wrapText="1"/>
    </xf>
    <xf numFmtId="165" fontId="0" fillId="7" borderId="1" xfId="0" applyNumberFormat="1" applyFill="1" applyBorder="1"/>
    <xf numFmtId="0" fontId="0" fillId="6" borderId="1" xfId="2" applyNumberFormat="1" applyFont="1" applyFill="1" applyBorder="1" applyAlignment="1">
      <alignment horizontal="center"/>
    </xf>
    <xf numFmtId="0" fontId="0" fillId="11" borderId="8" xfId="0" applyFill="1" applyBorder="1"/>
    <xf numFmtId="167" fontId="0" fillId="0" borderId="1" xfId="1" applyNumberFormat="1" applyFont="1" applyBorder="1"/>
    <xf numFmtId="0" fontId="17" fillId="0" borderId="0" xfId="0" applyFont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35" xfId="1" applyNumberFormat="1" applyFont="1" applyBorder="1" applyAlignment="1">
      <alignment horizontal="center" vertical="center"/>
    </xf>
    <xf numFmtId="167" fontId="4" fillId="0" borderId="33" xfId="1" applyNumberFormat="1" applyFont="1" applyBorder="1" applyAlignment="1">
      <alignment horizontal="center" vertical="center"/>
    </xf>
    <xf numFmtId="167" fontId="4" fillId="0" borderId="34" xfId="1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24" fillId="0" borderId="0" xfId="0" applyFont="1"/>
    <xf numFmtId="0" fontId="25" fillId="0" borderId="0" xfId="0" applyFont="1"/>
    <xf numFmtId="170" fontId="5" fillId="0" borderId="36" xfId="0" applyNumberFormat="1" applyFont="1" applyBorder="1" applyAlignment="1">
      <alignment horizontal="center"/>
    </xf>
    <xf numFmtId="170" fontId="5" fillId="0" borderId="5" xfId="0" applyNumberFormat="1" applyFont="1" applyBorder="1" applyAlignment="1">
      <alignment horizontal="center"/>
    </xf>
    <xf numFmtId="170" fontId="5" fillId="0" borderId="26" xfId="0" applyNumberFormat="1" applyFont="1" applyBorder="1" applyAlignment="1">
      <alignment horizontal="center"/>
    </xf>
    <xf numFmtId="170" fontId="5" fillId="0" borderId="22" xfId="0" applyNumberFormat="1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6"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theme="9" tint="0.39994506668294322"/>
      </font>
      <fill>
        <patternFill patternType="none">
          <bgColor auto="1"/>
        </patternFill>
      </fill>
    </dxf>
    <dxf>
      <font>
        <color theme="2" tint="-9.9948118533890809E-2"/>
      </font>
      <fill>
        <patternFill>
          <bgColor theme="0"/>
        </patternFill>
      </fill>
    </dxf>
    <dxf>
      <font>
        <u val="none"/>
        <color theme="7" tint="0.59996337778862885"/>
      </font>
      <fill>
        <patternFill patternType="none">
          <bgColor auto="1"/>
        </patternFill>
      </fill>
    </dxf>
    <dxf>
      <font>
        <u/>
        <color theme="4" tint="0.39994506668294322"/>
      </font>
      <fill>
        <patternFill patternType="none">
          <bgColor auto="1"/>
        </patternFill>
      </fill>
    </dxf>
    <dxf>
      <font>
        <b/>
        <i val="0"/>
        <u val="double"/>
        <color theme="0"/>
      </font>
      <fill>
        <patternFill patternType="solid">
          <bgColor theme="1" tint="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Visualization!$B$1</c:f>
              <c:strCache>
                <c:ptCount val="1"/>
                <c:pt idx="0">
                  <c:v>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Visualization!$A$2:$A$50</c:f>
              <c:numCache>
                <c:formatCode>m/d/yyyy</c:formatCode>
                <c:ptCount val="4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</c:numCache>
            </c:numRef>
          </c:cat>
          <c:val>
            <c:numRef>
              <c:f>Visualization!$B$2:$B$50</c:f>
              <c:numCache>
                <c:formatCode>0.00</c:formatCode>
                <c:ptCount val="49"/>
                <c:pt idx="0">
                  <c:v>2.2505259635413299</c:v>
                </c:pt>
                <c:pt idx="1">
                  <c:v>2.1550270973536301</c:v>
                </c:pt>
                <c:pt idx="2">
                  <c:v>2.2006895426586208</c:v>
                </c:pt>
                <c:pt idx="3">
                  <c:v>2.1085771219222953</c:v>
                </c:pt>
                <c:pt idx="4">
                  <c:v>2.28329056199245</c:v>
                </c:pt>
                <c:pt idx="5">
                  <c:v>1.6966565281555612</c:v>
                </c:pt>
                <c:pt idx="6">
                  <c:v>1.6188465800286558</c:v>
                </c:pt>
                <c:pt idx="7">
                  <c:v>2.2397974717059688</c:v>
                </c:pt>
                <c:pt idx="8">
                  <c:v>2.2667256853946909</c:v>
                </c:pt>
                <c:pt idx="9">
                  <c:v>2.2791503675496672</c:v>
                </c:pt>
                <c:pt idx="10">
                  <c:v>2.2706708346851974</c:v>
                </c:pt>
                <c:pt idx="11">
                  <c:v>2.2233254828134692</c:v>
                </c:pt>
                <c:pt idx="12">
                  <c:v>1.6196689117436101</c:v>
                </c:pt>
                <c:pt idx="13">
                  <c:v>1.6146774533386536</c:v>
                </c:pt>
                <c:pt idx="14">
                  <c:v>2.232539383545316</c:v>
                </c:pt>
                <c:pt idx="15">
                  <c:v>2.2357023502853046</c:v>
                </c:pt>
                <c:pt idx="16">
                  <c:v>2.1489507496563003</c:v>
                </c:pt>
                <c:pt idx="17">
                  <c:v>2.277796551315221</c:v>
                </c:pt>
                <c:pt idx="18">
                  <c:v>2.278284377671612</c:v>
                </c:pt>
                <c:pt idx="19">
                  <c:v>1.5445600472652754</c:v>
                </c:pt>
                <c:pt idx="20">
                  <c:v>1.6431049778631026</c:v>
                </c:pt>
                <c:pt idx="21">
                  <c:v>2.1614431474012461</c:v>
                </c:pt>
                <c:pt idx="22">
                  <c:v>2.2079797231454537</c:v>
                </c:pt>
                <c:pt idx="23">
                  <c:v>2.2545381951677941</c:v>
                </c:pt>
                <c:pt idx="24">
                  <c:v>2.1791370650565325</c:v>
                </c:pt>
                <c:pt idx="25">
                  <c:v>2.1484136342167099</c:v>
                </c:pt>
                <c:pt idx="26">
                  <c:v>1.5793241276444328</c:v>
                </c:pt>
                <c:pt idx="27">
                  <c:v>1.5650465483413654</c:v>
                </c:pt>
                <c:pt idx="28">
                  <c:v>2.2711827012358921</c:v>
                </c:pt>
                <c:pt idx="29">
                  <c:v>2.2241881162603701</c:v>
                </c:pt>
                <c:pt idx="30">
                  <c:v>2.2583873273345798</c:v>
                </c:pt>
                <c:pt idx="31">
                  <c:v>2.2909829700351443</c:v>
                </c:pt>
                <c:pt idx="32">
                  <c:v>2.2621589850640835</c:v>
                </c:pt>
                <c:pt idx="33">
                  <c:v>1.6232950141729556</c:v>
                </c:pt>
                <c:pt idx="34">
                  <c:v>1.6332418894037222</c:v>
                </c:pt>
                <c:pt idx="35">
                  <c:v>2.2839033304580605</c:v>
                </c:pt>
                <c:pt idx="36">
                  <c:v>2.1968833363190399</c:v>
                </c:pt>
                <c:pt idx="37">
                  <c:v>2.1553372624260376</c:v>
                </c:pt>
                <c:pt idx="38">
                  <c:v>2.1328372252289918</c:v>
                </c:pt>
                <c:pt idx="39">
                  <c:v>2.1819572634721625</c:v>
                </c:pt>
                <c:pt idx="40">
                  <c:v>1.5248977063458866</c:v>
                </c:pt>
                <c:pt idx="41">
                  <c:v>1.5771961534158727</c:v>
                </c:pt>
                <c:pt idx="42">
                  <c:v>2.2541190940941798</c:v>
                </c:pt>
                <c:pt idx="43">
                  <c:v>2.1049062947547541</c:v>
                </c:pt>
                <c:pt idx="44">
                  <c:v>2.1234479682976821</c:v>
                </c:pt>
                <c:pt idx="45">
                  <c:v>2.1231510347007858</c:v>
                </c:pt>
                <c:pt idx="46">
                  <c:v>2.173100377453077</c:v>
                </c:pt>
                <c:pt idx="47">
                  <c:v>1.6330352602496452</c:v>
                </c:pt>
                <c:pt idx="48">
                  <c:v>1.5329351976693721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B-FE45-B1DE-5E66BF89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677135"/>
        <c:axId val="1513698303"/>
      </c:lineChart>
      <c:dateAx>
        <c:axId val="15996771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98303"/>
        <c:crosses val="autoZero"/>
        <c:auto val="1"/>
        <c:lblOffset val="100"/>
        <c:baseTimeUnit val="days"/>
      </c:dateAx>
      <c:valAx>
        <c:axId val="15136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7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rgbClr val="FF0000"/>
                </a:solidFill>
              </a:rPr>
              <a:t>Target hours vs. Actual</a:t>
            </a:r>
            <a:r>
              <a:rPr lang="en-IN" sz="2000" b="1" baseline="0">
                <a:solidFill>
                  <a:srgbClr val="FF0000"/>
                </a:solidFill>
              </a:rPr>
              <a:t> Hours</a:t>
            </a:r>
            <a:endParaRPr lang="en-IN" sz="20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'Study Hours Data'!$C$1</c:f>
              <c:strCache>
                <c:ptCount val="1"/>
                <c:pt idx="0">
                  <c:v>Total hours spent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4925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'Study Hours Data'!$A$2:$A$33</c:f>
              <c:numCache>
                <c:formatCode>m/d/yyyy</c:formatCode>
                <c:ptCount val="32"/>
                <c:pt idx="0">
                  <c:v>45558</c:v>
                </c:pt>
                <c:pt idx="1">
                  <c:v>45559</c:v>
                </c:pt>
                <c:pt idx="2">
                  <c:v>45560</c:v>
                </c:pt>
                <c:pt idx="3">
                  <c:v>45561</c:v>
                </c:pt>
                <c:pt idx="4">
                  <c:v>45562</c:v>
                </c:pt>
                <c:pt idx="5">
                  <c:v>45563</c:v>
                </c:pt>
                <c:pt idx="6">
                  <c:v>45564</c:v>
                </c:pt>
                <c:pt idx="7">
                  <c:v>45565</c:v>
                </c:pt>
                <c:pt idx="8">
                  <c:v>45566</c:v>
                </c:pt>
                <c:pt idx="9">
                  <c:v>45567</c:v>
                </c:pt>
                <c:pt idx="10">
                  <c:v>45568</c:v>
                </c:pt>
                <c:pt idx="11">
                  <c:v>45569</c:v>
                </c:pt>
                <c:pt idx="12">
                  <c:v>45570</c:v>
                </c:pt>
                <c:pt idx="13">
                  <c:v>45571</c:v>
                </c:pt>
                <c:pt idx="14">
                  <c:v>45572</c:v>
                </c:pt>
                <c:pt idx="15">
                  <c:v>45573</c:v>
                </c:pt>
                <c:pt idx="16">
                  <c:v>45574</c:v>
                </c:pt>
                <c:pt idx="17">
                  <c:v>45575</c:v>
                </c:pt>
                <c:pt idx="18">
                  <c:v>45576</c:v>
                </c:pt>
                <c:pt idx="19">
                  <c:v>45577</c:v>
                </c:pt>
                <c:pt idx="20">
                  <c:v>45578</c:v>
                </c:pt>
                <c:pt idx="21">
                  <c:v>45579</c:v>
                </c:pt>
                <c:pt idx="22">
                  <c:v>45580</c:v>
                </c:pt>
                <c:pt idx="23">
                  <c:v>45581</c:v>
                </c:pt>
                <c:pt idx="24">
                  <c:v>45582</c:v>
                </c:pt>
                <c:pt idx="25">
                  <c:v>45583</c:v>
                </c:pt>
                <c:pt idx="26">
                  <c:v>45584</c:v>
                </c:pt>
                <c:pt idx="27">
                  <c:v>45585</c:v>
                </c:pt>
                <c:pt idx="28">
                  <c:v>45586</c:v>
                </c:pt>
                <c:pt idx="29">
                  <c:v>45587</c:v>
                </c:pt>
                <c:pt idx="30">
                  <c:v>45588</c:v>
                </c:pt>
                <c:pt idx="31">
                  <c:v>45589</c:v>
                </c:pt>
              </c:numCache>
            </c:numRef>
          </c:cat>
          <c:val>
            <c:numRef>
              <c:f>'Study Hours Data'!$C$2:$C$33</c:f>
              <c:numCache>
                <c:formatCode>General</c:formatCode>
                <c:ptCount val="32"/>
                <c:pt idx="0">
                  <c:v>5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  <c:pt idx="5">
                  <c:v>22</c:v>
                </c:pt>
                <c:pt idx="6">
                  <c:v>27</c:v>
                </c:pt>
                <c:pt idx="7">
                  <c:v>30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40</c:v>
                </c:pt>
                <c:pt idx="16">
                  <c:v>46</c:v>
                </c:pt>
                <c:pt idx="1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1-4DAB-A749-1CF239258F1E}"/>
            </c:ext>
          </c:extLst>
        </c:ser>
        <c:ser>
          <c:idx val="1"/>
          <c:order val="1"/>
          <c:tx>
            <c:strRef>
              <c:f>'Study Hours Data'!$D$1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'Study Hours Data'!$A$2:$A$33</c:f>
              <c:numCache>
                <c:formatCode>m/d/yyyy</c:formatCode>
                <c:ptCount val="32"/>
                <c:pt idx="0">
                  <c:v>45558</c:v>
                </c:pt>
                <c:pt idx="1">
                  <c:v>45559</c:v>
                </c:pt>
                <c:pt idx="2">
                  <c:v>45560</c:v>
                </c:pt>
                <c:pt idx="3">
                  <c:v>45561</c:v>
                </c:pt>
                <c:pt idx="4">
                  <c:v>45562</c:v>
                </c:pt>
                <c:pt idx="5">
                  <c:v>45563</c:v>
                </c:pt>
                <c:pt idx="6">
                  <c:v>45564</c:v>
                </c:pt>
                <c:pt idx="7">
                  <c:v>45565</c:v>
                </c:pt>
                <c:pt idx="8">
                  <c:v>45566</c:v>
                </c:pt>
                <c:pt idx="9">
                  <c:v>45567</c:v>
                </c:pt>
                <c:pt idx="10">
                  <c:v>45568</c:v>
                </c:pt>
                <c:pt idx="11">
                  <c:v>45569</c:v>
                </c:pt>
                <c:pt idx="12">
                  <c:v>45570</c:v>
                </c:pt>
                <c:pt idx="13">
                  <c:v>45571</c:v>
                </c:pt>
                <c:pt idx="14">
                  <c:v>45572</c:v>
                </c:pt>
                <c:pt idx="15">
                  <c:v>45573</c:v>
                </c:pt>
                <c:pt idx="16">
                  <c:v>45574</c:v>
                </c:pt>
                <c:pt idx="17">
                  <c:v>45575</c:v>
                </c:pt>
                <c:pt idx="18">
                  <c:v>45576</c:v>
                </c:pt>
                <c:pt idx="19">
                  <c:v>45577</c:v>
                </c:pt>
                <c:pt idx="20">
                  <c:v>45578</c:v>
                </c:pt>
                <c:pt idx="21">
                  <c:v>45579</c:v>
                </c:pt>
                <c:pt idx="22">
                  <c:v>45580</c:v>
                </c:pt>
                <c:pt idx="23">
                  <c:v>45581</c:v>
                </c:pt>
                <c:pt idx="24">
                  <c:v>45582</c:v>
                </c:pt>
                <c:pt idx="25">
                  <c:v>45583</c:v>
                </c:pt>
                <c:pt idx="26">
                  <c:v>45584</c:v>
                </c:pt>
                <c:pt idx="27">
                  <c:v>45585</c:v>
                </c:pt>
                <c:pt idx="28">
                  <c:v>45586</c:v>
                </c:pt>
                <c:pt idx="29">
                  <c:v>45587</c:v>
                </c:pt>
                <c:pt idx="30">
                  <c:v>45588</c:v>
                </c:pt>
                <c:pt idx="31">
                  <c:v>45589</c:v>
                </c:pt>
              </c:numCache>
            </c:numRef>
          </c:cat>
          <c:val>
            <c:numRef>
              <c:f>'Study Hours Data'!$D$2:$D$33</c:f>
              <c:numCache>
                <c:formatCode>General</c:formatCode>
                <c:ptCount val="32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130</c:v>
                </c:pt>
                <c:pt idx="6">
                  <c:v>130</c:v>
                </c:pt>
                <c:pt idx="7">
                  <c:v>130</c:v>
                </c:pt>
                <c:pt idx="8">
                  <c:v>130</c:v>
                </c:pt>
                <c:pt idx="9">
                  <c:v>130</c:v>
                </c:pt>
                <c:pt idx="10">
                  <c:v>130</c:v>
                </c:pt>
                <c:pt idx="11">
                  <c:v>130</c:v>
                </c:pt>
                <c:pt idx="12">
                  <c:v>130</c:v>
                </c:pt>
                <c:pt idx="13">
                  <c:v>130</c:v>
                </c:pt>
                <c:pt idx="14">
                  <c:v>130</c:v>
                </c:pt>
                <c:pt idx="15">
                  <c:v>130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130</c:v>
                </c:pt>
                <c:pt idx="23">
                  <c:v>130</c:v>
                </c:pt>
                <c:pt idx="24">
                  <c:v>130</c:v>
                </c:pt>
                <c:pt idx="25">
                  <c:v>130</c:v>
                </c:pt>
                <c:pt idx="26">
                  <c:v>130</c:v>
                </c:pt>
                <c:pt idx="27">
                  <c:v>130</c:v>
                </c:pt>
                <c:pt idx="28">
                  <c:v>130</c:v>
                </c:pt>
                <c:pt idx="29">
                  <c:v>130</c:v>
                </c:pt>
                <c:pt idx="30">
                  <c:v>130</c:v>
                </c:pt>
                <c:pt idx="3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1-4DAB-A749-1CF239258F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3753072"/>
        <c:axId val="633751632"/>
      </c:lineChart>
      <c:dateAx>
        <c:axId val="633753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51632"/>
        <c:crosses val="autoZero"/>
        <c:auto val="1"/>
        <c:lblOffset val="100"/>
        <c:baseTimeUnit val="days"/>
      </c:dateAx>
      <c:valAx>
        <c:axId val="6337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5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rgbClr val="FF0000"/>
                </a:solidFill>
              </a:rPr>
              <a:t>Composition Analysis of Actual vs.</a:t>
            </a:r>
            <a:r>
              <a:rPr lang="en-IN" sz="1800" b="1" baseline="0">
                <a:solidFill>
                  <a:srgbClr val="FF0000"/>
                </a:solidFill>
              </a:rPr>
              <a:t> Deficit</a:t>
            </a:r>
            <a:endParaRPr lang="en-IN" sz="18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B-4E28-B7F5-CF4812409A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B-4E28-B7F5-CF4812409A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('Progress Summary'!$B$6,'Progress Summary'!$B$8)</c:f>
              <c:strCache>
                <c:ptCount val="2"/>
                <c:pt idx="0">
                  <c:v>Actual (Total hours studied till now)</c:v>
                </c:pt>
                <c:pt idx="1">
                  <c:v>Deficit (Hours to cover up)</c:v>
                </c:pt>
              </c:strCache>
            </c:strRef>
          </c:cat>
          <c:val>
            <c:numRef>
              <c:f>('Progress Summary'!$C$6,'Progress Summary'!$C$8)</c:f>
              <c:numCache>
                <c:formatCode>0\ "hrs"</c:formatCode>
                <c:ptCount val="2"/>
                <c:pt idx="0">
                  <c:v>50</c:v>
                </c:pt>
                <c:pt idx="1">
                  <c:v>23.125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B-4E28-B7F5-CF4812409A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0</xdr:row>
      <xdr:rowOff>187324</xdr:rowOff>
    </xdr:from>
    <xdr:to>
      <xdr:col>11</xdr:col>
      <xdr:colOff>196850</xdr:colOff>
      <xdr:row>16</xdr:row>
      <xdr:rowOff>101599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45FE90-603F-576C-1F79-AAAA39125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429558</xdr:colOff>
      <xdr:row>11</xdr:row>
      <xdr:rowOff>112059</xdr:rowOff>
    </xdr:from>
    <xdr:ext cx="1728678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C09040-B7BD-271D-B201-BFB2E2CFAA5E}"/>
            </a:ext>
          </a:extLst>
        </xdr:cNvPr>
        <xdr:cNvSpPr txBox="1"/>
      </xdr:nvSpPr>
      <xdr:spPr>
        <a:xfrm>
          <a:off x="6430308" y="2572684"/>
          <a:ext cx="17286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600" b="1">
              <a:solidFill>
                <a:srgbClr val="FF0000"/>
              </a:solidFill>
            </a:rPr>
            <a:t>Current Daily Avg.</a:t>
          </a:r>
        </a:p>
      </xdr:txBody>
    </xdr:sp>
    <xdr:clientData/>
  </xdr:oneCellAnchor>
  <xdr:oneCellAnchor>
    <xdr:from>
      <xdr:col>11</xdr:col>
      <xdr:colOff>109369</xdr:colOff>
      <xdr:row>11</xdr:row>
      <xdr:rowOff>121397</xdr:rowOff>
    </xdr:from>
    <xdr:ext cx="1855316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6436B44-2F2A-4840-9A0C-5F66F471A3B6}"/>
            </a:ext>
          </a:extLst>
        </xdr:cNvPr>
        <xdr:cNvSpPr txBox="1"/>
      </xdr:nvSpPr>
      <xdr:spPr>
        <a:xfrm>
          <a:off x="9539119" y="2582022"/>
          <a:ext cx="185531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600" b="1">
              <a:solidFill>
                <a:srgbClr val="FF0000"/>
              </a:solidFill>
            </a:rPr>
            <a:t>Required Daily Avg.</a:t>
          </a:r>
        </a:p>
      </xdr:txBody>
    </xdr:sp>
    <xdr:clientData/>
  </xdr:oneCellAnchor>
  <xdr:twoCellAnchor>
    <xdr:from>
      <xdr:col>2</xdr:col>
      <xdr:colOff>23813</xdr:colOff>
      <xdr:row>15</xdr:row>
      <xdr:rowOff>87313</xdr:rowOff>
    </xdr:from>
    <xdr:to>
      <xdr:col>13</xdr:col>
      <xdr:colOff>703943</xdr:colOff>
      <xdr:row>35</xdr:row>
      <xdr:rowOff>94343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B9101-2487-4C9B-A5E9-3DA49BF55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73742</xdr:colOff>
      <xdr:row>15</xdr:row>
      <xdr:rowOff>159775</xdr:rowOff>
    </xdr:from>
    <xdr:to>
      <xdr:col>20</xdr:col>
      <xdr:colOff>397213</xdr:colOff>
      <xdr:row>35</xdr:row>
      <xdr:rowOff>86032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44CF66-202D-46C3-90F5-EDB651B39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4DC5-D301-F541-94B0-91665FD57BEA}">
  <dimension ref="A1:B123"/>
  <sheetViews>
    <sheetView zoomScale="200" workbookViewId="0">
      <selection activeCell="B10" sqref="B10"/>
    </sheetView>
  </sheetViews>
  <sheetFormatPr defaultColWidth="11.19921875" defaultRowHeight="15.6"/>
  <cols>
    <col min="1" max="1" width="26.19921875" bestFit="1" customWidth="1"/>
  </cols>
  <sheetData>
    <row r="1" spans="1:2">
      <c r="A1" t="s">
        <v>0</v>
      </c>
      <c r="B1" t="s">
        <v>1</v>
      </c>
    </row>
    <row r="2" spans="1:2">
      <c r="A2" s="3">
        <v>45292</v>
      </c>
      <c r="B2" s="2">
        <v>2.2505259635413299</v>
      </c>
    </row>
    <row r="3" spans="1:2">
      <c r="A3" s="3">
        <v>45293</v>
      </c>
      <c r="B3" s="2">
        <v>2.1550270973536301</v>
      </c>
    </row>
    <row r="4" spans="1:2">
      <c r="A4" s="3">
        <v>45294</v>
      </c>
      <c r="B4" s="2">
        <v>2.2006895426586208</v>
      </c>
    </row>
    <row r="5" spans="1:2">
      <c r="A5" s="3">
        <v>45295</v>
      </c>
      <c r="B5" s="2">
        <v>2.1085771219222953</v>
      </c>
    </row>
    <row r="6" spans="1:2">
      <c r="A6" s="3">
        <v>45296</v>
      </c>
      <c r="B6" s="2">
        <v>2.28329056199245</v>
      </c>
    </row>
    <row r="7" spans="1:2">
      <c r="A7" s="3">
        <v>45297</v>
      </c>
      <c r="B7" s="2">
        <v>1.6966565281555612</v>
      </c>
    </row>
    <row r="8" spans="1:2">
      <c r="A8" s="3">
        <v>45298</v>
      </c>
      <c r="B8" s="2">
        <v>1.6188465800286558</v>
      </c>
    </row>
    <row r="9" spans="1:2">
      <c r="A9" s="3">
        <v>45299</v>
      </c>
      <c r="B9" s="2">
        <v>2.2397974717059688</v>
      </c>
    </row>
    <row r="10" spans="1:2">
      <c r="A10" s="3">
        <v>45300</v>
      </c>
      <c r="B10" s="2">
        <v>2.2667256853946909</v>
      </c>
    </row>
    <row r="11" spans="1:2">
      <c r="A11" s="3">
        <v>45301</v>
      </c>
      <c r="B11" s="2">
        <v>2.2791503675496672</v>
      </c>
    </row>
    <row r="12" spans="1:2">
      <c r="A12" s="3">
        <v>45302</v>
      </c>
      <c r="B12" s="2">
        <v>2.2706708346851974</v>
      </c>
    </row>
    <row r="13" spans="1:2">
      <c r="A13" s="3">
        <v>45303</v>
      </c>
      <c r="B13" s="2">
        <v>2.2233254828134692</v>
      </c>
    </row>
    <row r="14" spans="1:2">
      <c r="A14" s="3">
        <v>45304</v>
      </c>
      <c r="B14" s="2">
        <v>1.6196689117436101</v>
      </c>
    </row>
    <row r="15" spans="1:2">
      <c r="A15" s="3">
        <v>45305</v>
      </c>
      <c r="B15" s="2">
        <v>1.6146774533386536</v>
      </c>
    </row>
    <row r="16" spans="1:2">
      <c r="A16" s="3">
        <v>45306</v>
      </c>
      <c r="B16" s="2">
        <v>2.232539383545316</v>
      </c>
    </row>
    <row r="17" spans="1:2">
      <c r="A17" s="3">
        <v>45307</v>
      </c>
      <c r="B17" s="2">
        <v>2.2357023502853046</v>
      </c>
    </row>
    <row r="18" spans="1:2">
      <c r="A18" s="3">
        <v>45308</v>
      </c>
      <c r="B18" s="2">
        <v>2.1489507496563003</v>
      </c>
    </row>
    <row r="19" spans="1:2">
      <c r="A19" s="3">
        <v>45309</v>
      </c>
      <c r="B19" s="2">
        <v>2.277796551315221</v>
      </c>
    </row>
    <row r="20" spans="1:2">
      <c r="A20" s="3">
        <v>45310</v>
      </c>
      <c r="B20" s="2">
        <v>2.278284377671612</v>
      </c>
    </row>
    <row r="21" spans="1:2">
      <c r="A21" s="3">
        <v>45311</v>
      </c>
      <c r="B21" s="2">
        <v>1.5445600472652754</v>
      </c>
    </row>
    <row r="22" spans="1:2">
      <c r="A22" s="3">
        <v>45312</v>
      </c>
      <c r="B22" s="2">
        <v>1.6431049778631026</v>
      </c>
    </row>
    <row r="23" spans="1:2">
      <c r="A23" s="3">
        <v>45313</v>
      </c>
      <c r="B23" s="2">
        <v>2.1614431474012461</v>
      </c>
    </row>
    <row r="24" spans="1:2">
      <c r="A24" s="3">
        <v>45314</v>
      </c>
      <c r="B24" s="2">
        <v>2.2079797231454537</v>
      </c>
    </row>
    <row r="25" spans="1:2">
      <c r="A25" s="3">
        <v>45315</v>
      </c>
      <c r="B25" s="2">
        <v>2.2545381951677941</v>
      </c>
    </row>
    <row r="26" spans="1:2">
      <c r="A26" s="3">
        <v>45316</v>
      </c>
      <c r="B26" s="2">
        <v>2.1791370650565325</v>
      </c>
    </row>
    <row r="27" spans="1:2">
      <c r="A27" s="3">
        <v>45317</v>
      </c>
      <c r="B27" s="2">
        <v>2.1484136342167099</v>
      </c>
    </row>
    <row r="28" spans="1:2">
      <c r="A28" s="3">
        <v>45318</v>
      </c>
      <c r="B28" s="2">
        <v>1.5793241276444328</v>
      </c>
    </row>
    <row r="29" spans="1:2">
      <c r="A29" s="3">
        <v>45319</v>
      </c>
      <c r="B29" s="2">
        <v>1.5650465483413654</v>
      </c>
    </row>
    <row r="30" spans="1:2">
      <c r="A30" s="3">
        <v>45320</v>
      </c>
      <c r="B30" s="2">
        <v>2.2711827012358921</v>
      </c>
    </row>
    <row r="31" spans="1:2">
      <c r="A31" s="3">
        <v>45321</v>
      </c>
      <c r="B31" s="2">
        <v>2.2241881162603701</v>
      </c>
    </row>
    <row r="32" spans="1:2">
      <c r="A32" s="3">
        <v>45322</v>
      </c>
      <c r="B32" s="2">
        <v>2.2583873273345798</v>
      </c>
    </row>
    <row r="33" spans="1:2">
      <c r="A33" s="3">
        <v>45323</v>
      </c>
      <c r="B33" s="2">
        <v>2.2909829700351443</v>
      </c>
    </row>
    <row r="34" spans="1:2">
      <c r="A34" s="3">
        <v>45324</v>
      </c>
      <c r="B34" s="2">
        <v>2.2621589850640835</v>
      </c>
    </row>
    <row r="35" spans="1:2">
      <c r="A35" s="3">
        <v>45325</v>
      </c>
      <c r="B35" s="2">
        <v>1.6232950141729556</v>
      </c>
    </row>
    <row r="36" spans="1:2">
      <c r="A36" s="3">
        <v>45326</v>
      </c>
      <c r="B36" s="2">
        <v>1.6332418894037222</v>
      </c>
    </row>
    <row r="37" spans="1:2">
      <c r="A37" s="3">
        <v>45327</v>
      </c>
      <c r="B37" s="2">
        <v>2.2839033304580605</v>
      </c>
    </row>
    <row r="38" spans="1:2">
      <c r="A38" s="3">
        <v>45328</v>
      </c>
      <c r="B38" s="2">
        <v>2.1968833363190399</v>
      </c>
    </row>
    <row r="39" spans="1:2">
      <c r="A39" s="3">
        <v>45329</v>
      </c>
      <c r="B39" s="2">
        <v>2.1553372624260376</v>
      </c>
    </row>
    <row r="40" spans="1:2">
      <c r="A40" s="3">
        <v>45330</v>
      </c>
      <c r="B40" s="2">
        <v>2.1328372252289918</v>
      </c>
    </row>
    <row r="41" spans="1:2">
      <c r="A41" s="3">
        <v>45331</v>
      </c>
      <c r="B41" s="2">
        <v>2.1819572634721625</v>
      </c>
    </row>
    <row r="42" spans="1:2">
      <c r="A42" s="3">
        <v>45332</v>
      </c>
      <c r="B42" s="2">
        <v>1.5248977063458866</v>
      </c>
    </row>
    <row r="43" spans="1:2">
      <c r="A43" s="3">
        <v>45333</v>
      </c>
      <c r="B43" s="2">
        <v>1.5771961534158727</v>
      </c>
    </row>
    <row r="44" spans="1:2">
      <c r="A44" s="3">
        <v>45334</v>
      </c>
      <c r="B44" s="2">
        <v>2.2541190940941798</v>
      </c>
    </row>
    <row r="45" spans="1:2">
      <c r="A45" s="3">
        <v>45335</v>
      </c>
      <c r="B45" s="2">
        <v>2.1049062947547541</v>
      </c>
    </row>
    <row r="46" spans="1:2">
      <c r="A46" s="3">
        <v>45336</v>
      </c>
      <c r="B46" s="2">
        <v>2.1234479682976821</v>
      </c>
    </row>
    <row r="47" spans="1:2">
      <c r="A47" s="3">
        <v>45337</v>
      </c>
      <c r="B47" s="2">
        <v>2.1231510347007858</v>
      </c>
    </row>
    <row r="48" spans="1:2">
      <c r="A48" s="3">
        <v>45338</v>
      </c>
      <c r="B48" s="2">
        <v>2.173100377453077</v>
      </c>
    </row>
    <row r="49" spans="1:2">
      <c r="A49" s="3">
        <v>45339</v>
      </c>
      <c r="B49" s="2">
        <v>1.6330352602496452</v>
      </c>
    </row>
    <row r="50" spans="1:2">
      <c r="A50" s="3">
        <v>45340</v>
      </c>
      <c r="B50" s="2">
        <v>1.5329351976693721</v>
      </c>
    </row>
    <row r="51" spans="1:2">
      <c r="A51" s="1"/>
      <c r="B51" s="2"/>
    </row>
    <row r="52" spans="1:2">
      <c r="A52" s="1"/>
      <c r="B52" s="2"/>
    </row>
    <row r="53" spans="1:2">
      <c r="A53" s="1"/>
      <c r="B53" s="2"/>
    </row>
    <row r="54" spans="1:2">
      <c r="A54" s="1"/>
      <c r="B54" s="2"/>
    </row>
    <row r="55" spans="1:2">
      <c r="A55" s="1"/>
      <c r="B55" s="2"/>
    </row>
    <row r="56" spans="1:2">
      <c r="A56" s="1"/>
      <c r="B56" s="2"/>
    </row>
    <row r="57" spans="1:2">
      <c r="A57" s="1"/>
      <c r="B57" s="2"/>
    </row>
    <row r="58" spans="1:2">
      <c r="A58" s="1"/>
      <c r="B58" s="2"/>
    </row>
    <row r="59" spans="1:2">
      <c r="A59" s="1"/>
      <c r="B59" s="2"/>
    </row>
    <row r="60" spans="1:2">
      <c r="A60" s="1"/>
      <c r="B60" s="2"/>
    </row>
    <row r="61" spans="1:2">
      <c r="A61" s="1"/>
      <c r="B61" s="2"/>
    </row>
    <row r="62" spans="1:2">
      <c r="A62" s="1"/>
      <c r="B62" s="2"/>
    </row>
    <row r="63" spans="1:2">
      <c r="A63" s="1"/>
      <c r="B63" s="2"/>
    </row>
    <row r="64" spans="1:2">
      <c r="A64" s="1"/>
      <c r="B64" s="2"/>
    </row>
    <row r="65" spans="1:2">
      <c r="A65" s="1"/>
      <c r="B65" s="2"/>
    </row>
    <row r="66" spans="1:2">
      <c r="A66" s="1"/>
      <c r="B66" s="2"/>
    </row>
    <row r="67" spans="1:2">
      <c r="A67" s="1"/>
      <c r="B67" s="2"/>
    </row>
    <row r="68" spans="1:2">
      <c r="A68" s="1"/>
      <c r="B68" s="2"/>
    </row>
    <row r="69" spans="1:2">
      <c r="A69" s="1"/>
      <c r="B69" s="2"/>
    </row>
    <row r="70" spans="1:2">
      <c r="A70" s="1"/>
      <c r="B70" s="2"/>
    </row>
    <row r="71" spans="1:2">
      <c r="A71" s="1"/>
      <c r="B71" s="2"/>
    </row>
    <row r="72" spans="1:2">
      <c r="A72" s="1"/>
      <c r="B72" s="2"/>
    </row>
    <row r="73" spans="1:2">
      <c r="A73" s="1"/>
      <c r="B73" s="2"/>
    </row>
    <row r="74" spans="1:2">
      <c r="A74" s="1"/>
      <c r="B74" s="2"/>
    </row>
    <row r="75" spans="1:2">
      <c r="A75" s="1"/>
      <c r="B75" s="2"/>
    </row>
    <row r="76" spans="1:2">
      <c r="A76" s="1"/>
      <c r="B76" s="2"/>
    </row>
    <row r="77" spans="1:2">
      <c r="A77" s="1"/>
      <c r="B77" s="2"/>
    </row>
    <row r="78" spans="1:2">
      <c r="A78" s="1"/>
      <c r="B78" s="2"/>
    </row>
    <row r="79" spans="1:2">
      <c r="A79" s="1"/>
      <c r="B79" s="2"/>
    </row>
    <row r="80" spans="1:2">
      <c r="A80" s="1"/>
      <c r="B80" s="2"/>
    </row>
    <row r="81" spans="1:2">
      <c r="A81" s="1"/>
      <c r="B81" s="2"/>
    </row>
    <row r="82" spans="1:2">
      <c r="A82" s="1"/>
      <c r="B82" s="2"/>
    </row>
    <row r="83" spans="1:2">
      <c r="A83" s="1"/>
      <c r="B83" s="2"/>
    </row>
    <row r="84" spans="1:2">
      <c r="A84" s="1"/>
      <c r="B84" s="2"/>
    </row>
    <row r="85" spans="1:2">
      <c r="A85" s="1"/>
      <c r="B85" s="2"/>
    </row>
    <row r="86" spans="1:2">
      <c r="A86" s="1"/>
      <c r="B86" s="2"/>
    </row>
    <row r="87" spans="1:2">
      <c r="A87" s="1"/>
      <c r="B87" s="2"/>
    </row>
    <row r="88" spans="1:2">
      <c r="A88" s="1"/>
      <c r="B88" s="2"/>
    </row>
    <row r="89" spans="1:2">
      <c r="A89" s="1"/>
      <c r="B89" s="2"/>
    </row>
    <row r="90" spans="1:2">
      <c r="A90" s="1"/>
      <c r="B90" s="2"/>
    </row>
    <row r="91" spans="1:2">
      <c r="A91" s="1"/>
      <c r="B91" s="2"/>
    </row>
    <row r="92" spans="1:2">
      <c r="A92" s="1"/>
      <c r="B92" s="2"/>
    </row>
    <row r="93" spans="1:2">
      <c r="A93" s="1"/>
      <c r="B93" s="2"/>
    </row>
    <row r="94" spans="1:2">
      <c r="A94" s="1"/>
      <c r="B94" s="2"/>
    </row>
    <row r="95" spans="1:2">
      <c r="A95" s="1"/>
      <c r="B95" s="2"/>
    </row>
    <row r="96" spans="1:2">
      <c r="A96" s="1"/>
      <c r="B96" s="2"/>
    </row>
    <row r="97" spans="1:2">
      <c r="A97" s="1"/>
      <c r="B97" s="2"/>
    </row>
    <row r="98" spans="1:2">
      <c r="A98" s="1"/>
      <c r="B98" s="2"/>
    </row>
    <row r="99" spans="1:2">
      <c r="A99" s="1"/>
      <c r="B99" s="2"/>
    </row>
    <row r="100" spans="1:2">
      <c r="A100" s="1"/>
      <c r="B100" s="2"/>
    </row>
    <row r="101" spans="1:2">
      <c r="A101" s="1"/>
      <c r="B101" s="2"/>
    </row>
    <row r="102" spans="1:2">
      <c r="A102" s="1"/>
      <c r="B102" s="2"/>
    </row>
    <row r="103" spans="1:2">
      <c r="A103" s="1"/>
      <c r="B103" s="2"/>
    </row>
    <row r="104" spans="1:2">
      <c r="A104" s="1"/>
      <c r="B104" s="2"/>
    </row>
    <row r="105" spans="1:2">
      <c r="A105" s="1"/>
      <c r="B105" s="2"/>
    </row>
    <row r="106" spans="1:2">
      <c r="A106" s="1"/>
      <c r="B106" s="2"/>
    </row>
    <row r="107" spans="1:2">
      <c r="A107" s="1"/>
      <c r="B107" s="2"/>
    </row>
    <row r="108" spans="1:2">
      <c r="A108" s="1"/>
      <c r="B108" s="2"/>
    </row>
    <row r="109" spans="1:2">
      <c r="A109" s="1"/>
      <c r="B109" s="2"/>
    </row>
    <row r="110" spans="1:2">
      <c r="A110" s="1"/>
      <c r="B110" s="2"/>
    </row>
    <row r="111" spans="1:2">
      <c r="A111" s="1"/>
      <c r="B111" s="2"/>
    </row>
    <row r="112" spans="1:2">
      <c r="A112" s="1"/>
      <c r="B112" s="2"/>
    </row>
    <row r="113" spans="1:2">
      <c r="A113" s="1"/>
      <c r="B113" s="2"/>
    </row>
    <row r="114" spans="1:2">
      <c r="A114" s="1"/>
      <c r="B114" s="2"/>
    </row>
    <row r="115" spans="1:2">
      <c r="A115" s="1"/>
      <c r="B115" s="2"/>
    </row>
    <row r="116" spans="1:2">
      <c r="A116" s="1"/>
      <c r="B116" s="2"/>
    </row>
    <row r="117" spans="1:2">
      <c r="A117" s="1"/>
      <c r="B117" s="2"/>
    </row>
    <row r="118" spans="1:2">
      <c r="A118" s="1"/>
      <c r="B118" s="2"/>
    </row>
    <row r="119" spans="1:2">
      <c r="A119" s="1"/>
      <c r="B119" s="2"/>
    </row>
    <row r="120" spans="1:2">
      <c r="A120" s="1"/>
      <c r="B120" s="2"/>
    </row>
    <row r="121" spans="1:2">
      <c r="A121" s="1"/>
      <c r="B121" s="2"/>
    </row>
    <row r="122" spans="1:2">
      <c r="A122" s="1"/>
      <c r="B122" s="2"/>
    </row>
    <row r="123" spans="1:2">
      <c r="A123" s="1"/>
      <c r="B12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1C34-2327-4AEE-BA42-493822F272CC}">
  <dimension ref="B2:P61"/>
  <sheetViews>
    <sheetView topLeftCell="E46" zoomScale="136" zoomScaleNormal="145" workbookViewId="0">
      <selection activeCell="K42" sqref="K42"/>
    </sheetView>
  </sheetViews>
  <sheetFormatPr defaultRowHeight="15.6"/>
  <cols>
    <col min="2" max="2" width="25.09765625" customWidth="1"/>
    <col min="4" max="5" width="17.69921875" customWidth="1"/>
    <col min="6" max="6" width="20.3984375" customWidth="1"/>
    <col min="10" max="10" width="16.796875" customWidth="1"/>
  </cols>
  <sheetData>
    <row r="2" spans="2:6">
      <c r="B2" s="73" t="s">
        <v>234</v>
      </c>
    </row>
    <row r="3" spans="2:6">
      <c r="B3" s="74" t="s">
        <v>235</v>
      </c>
    </row>
    <row r="4" spans="2:6">
      <c r="C4" t="s">
        <v>236</v>
      </c>
      <c r="D4" t="s">
        <v>237</v>
      </c>
      <c r="F4" t="s">
        <v>238</v>
      </c>
    </row>
    <row r="5" spans="2:6">
      <c r="D5" t="s">
        <v>239</v>
      </c>
    </row>
    <row r="7" spans="2:6">
      <c r="B7" t="s">
        <v>240</v>
      </c>
    </row>
    <row r="8" spans="2:6">
      <c r="C8" t="s">
        <v>241</v>
      </c>
    </row>
    <row r="9" spans="2:6">
      <c r="C9" t="s">
        <v>242</v>
      </c>
    </row>
    <row r="11" spans="2:6">
      <c r="B11" s="41" t="s">
        <v>243</v>
      </c>
    </row>
    <row r="12" spans="2:6">
      <c r="C12" t="s">
        <v>244</v>
      </c>
    </row>
    <row r="14" spans="2:6">
      <c r="B14" s="41" t="s">
        <v>245</v>
      </c>
    </row>
    <row r="15" spans="2:6">
      <c r="C15" t="s">
        <v>246</v>
      </c>
    </row>
    <row r="17" spans="2:7">
      <c r="B17" s="41" t="s">
        <v>247</v>
      </c>
    </row>
    <row r="18" spans="2:7">
      <c r="B18" t="s">
        <v>248</v>
      </c>
    </row>
    <row r="19" spans="2:7">
      <c r="B19" t="s">
        <v>249</v>
      </c>
    </row>
    <row r="21" spans="2:7">
      <c r="B21" s="41" t="s">
        <v>250</v>
      </c>
    </row>
    <row r="22" spans="2:7">
      <c r="B22" s="41"/>
      <c r="C22" t="s">
        <v>251</v>
      </c>
    </row>
    <row r="23" spans="2:7">
      <c r="B23" s="41"/>
      <c r="C23" t="s">
        <v>252</v>
      </c>
    </row>
    <row r="24" spans="2:7" ht="16.2" thickBot="1">
      <c r="B24" s="41" t="s">
        <v>253</v>
      </c>
      <c r="E24" t="s">
        <v>316</v>
      </c>
    </row>
    <row r="25" spans="2:7">
      <c r="C25" s="10" t="s">
        <v>254</v>
      </c>
      <c r="D25" s="75" t="s">
        <v>255</v>
      </c>
      <c r="E25" t="s">
        <v>317</v>
      </c>
      <c r="F25" s="130" t="s">
        <v>256</v>
      </c>
      <c r="G25" s="131"/>
    </row>
    <row r="26" spans="2:7" ht="16.2" thickBot="1">
      <c r="C26" s="10" t="s">
        <v>257</v>
      </c>
      <c r="D26" s="75" t="s">
        <v>258</v>
      </c>
      <c r="E26">
        <v>20</v>
      </c>
      <c r="F26" s="187"/>
      <c r="G26" s="132"/>
    </row>
    <row r="27" spans="2:7">
      <c r="C27" s="133" t="s">
        <v>259</v>
      </c>
      <c r="D27" s="133"/>
      <c r="E27" s="99"/>
      <c r="F27" s="188">
        <f>150/58</f>
        <v>2.5862068965517242</v>
      </c>
      <c r="G27" t="s">
        <v>260</v>
      </c>
    </row>
    <row r="28" spans="2:7">
      <c r="B28" s="76"/>
    </row>
    <row r="30" spans="2:7">
      <c r="B30" s="10" t="s">
        <v>261</v>
      </c>
      <c r="C30" s="10">
        <v>58</v>
      </c>
    </row>
    <row r="31" spans="2:7">
      <c r="B31" s="10" t="s">
        <v>262</v>
      </c>
      <c r="C31" s="10">
        <v>1</v>
      </c>
      <c r="D31" s="77" t="s">
        <v>263</v>
      </c>
      <c r="E31" s="77"/>
    </row>
    <row r="32" spans="2:7">
      <c r="B32" s="78" t="s">
        <v>264</v>
      </c>
      <c r="C32" s="10">
        <v>57</v>
      </c>
      <c r="F32" t="s">
        <v>306</v>
      </c>
      <c r="G32" t="s">
        <v>265</v>
      </c>
    </row>
    <row r="33" spans="2:13">
      <c r="B33" s="70"/>
      <c r="J33" s="79" t="s">
        <v>266</v>
      </c>
    </row>
    <row r="34" spans="2:13">
      <c r="C34" s="80" t="s">
        <v>267</v>
      </c>
      <c r="F34" s="41" t="s">
        <v>319</v>
      </c>
      <c r="G34" s="41" t="s">
        <v>320</v>
      </c>
    </row>
    <row r="35" spans="2:13">
      <c r="B35" s="81" t="s">
        <v>315</v>
      </c>
      <c r="C35" s="10">
        <v>3</v>
      </c>
      <c r="D35" t="s">
        <v>313</v>
      </c>
      <c r="F35" s="45">
        <v>45566</v>
      </c>
      <c r="G35" s="10">
        <v>1</v>
      </c>
      <c r="K35" s="134" t="s">
        <v>268</v>
      </c>
      <c r="L35" s="135" t="s">
        <v>269</v>
      </c>
      <c r="M35" s="135"/>
    </row>
    <row r="36" spans="2:13">
      <c r="B36" s="81" t="s">
        <v>270</v>
      </c>
      <c r="C36" s="10">
        <v>2.6</v>
      </c>
      <c r="F36" s="45">
        <v>45567</v>
      </c>
      <c r="G36" s="10">
        <v>1</v>
      </c>
      <c r="K36" s="134"/>
      <c r="L36" s="135"/>
      <c r="M36" s="135"/>
    </row>
    <row r="37" spans="2:13">
      <c r="B37" s="81" t="s">
        <v>271</v>
      </c>
      <c r="C37" s="88">
        <f>C35/C36</f>
        <v>1.1538461538461537</v>
      </c>
      <c r="F37" s="45">
        <v>45568</v>
      </c>
      <c r="G37" s="10"/>
      <c r="K37" s="134"/>
      <c r="L37" s="135"/>
      <c r="M37" s="135"/>
    </row>
    <row r="38" spans="2:13">
      <c r="B38" s="81" t="s">
        <v>272</v>
      </c>
      <c r="C38" s="10" t="s">
        <v>318</v>
      </c>
      <c r="F38" s="45">
        <v>45569</v>
      </c>
      <c r="G38" s="10"/>
      <c r="I38" s="81" t="s">
        <v>273</v>
      </c>
      <c r="J38" s="83" t="s">
        <v>274</v>
      </c>
      <c r="K38" s="134"/>
      <c r="L38" s="135"/>
      <c r="M38" s="135"/>
    </row>
    <row r="39" spans="2:13">
      <c r="F39" s="84" t="s">
        <v>275</v>
      </c>
      <c r="G39" s="10">
        <f>SUM($G$35:$G$38)</f>
        <v>2</v>
      </c>
      <c r="I39" s="75">
        <v>12</v>
      </c>
      <c r="J39" s="189">
        <f>I39/COUNT($F$35:$F$38)</f>
        <v>3</v>
      </c>
      <c r="K39" s="103">
        <f>$G$39</f>
        <v>2</v>
      </c>
      <c r="L39" s="190">
        <f>K43/K44</f>
        <v>5</v>
      </c>
    </row>
    <row r="40" spans="2:13">
      <c r="J40" s="101" t="s">
        <v>276</v>
      </c>
      <c r="K40" s="104" t="s">
        <v>277</v>
      </c>
    </row>
    <row r="41" spans="2:13">
      <c r="F41" s="100" t="s">
        <v>307</v>
      </c>
      <c r="K41" s="16"/>
    </row>
    <row r="42" spans="2:13">
      <c r="F42" s="100" t="s">
        <v>308</v>
      </c>
      <c r="I42" s="136" t="s">
        <v>278</v>
      </c>
      <c r="J42" t="s">
        <v>279</v>
      </c>
      <c r="K42">
        <f>COUNT($G$35:$G$38)</f>
        <v>2</v>
      </c>
    </row>
    <row r="43" spans="2:13">
      <c r="D43" s="85"/>
      <c r="E43" s="85"/>
      <c r="I43" s="136"/>
      <c r="J43" t="s">
        <v>280</v>
      </c>
      <c r="K43">
        <f>$I$39-$G$39</f>
        <v>10</v>
      </c>
    </row>
    <row r="44" spans="2:13">
      <c r="J44" t="s">
        <v>281</v>
      </c>
      <c r="K44">
        <f>COUNTBLANK($G$35:$G$38)</f>
        <v>2</v>
      </c>
    </row>
    <row r="45" spans="2:13">
      <c r="B45" s="41"/>
    </row>
    <row r="46" spans="2:13">
      <c r="B46" s="41"/>
      <c r="H46" s="10">
        <v>25</v>
      </c>
      <c r="I46" s="10" t="s">
        <v>131</v>
      </c>
      <c r="K46" s="82">
        <v>0.25</v>
      </c>
      <c r="L46" s="10" t="s">
        <v>282</v>
      </c>
    </row>
    <row r="47" spans="2:13">
      <c r="H47" s="10">
        <v>50</v>
      </c>
      <c r="I47" s="10" t="s">
        <v>132</v>
      </c>
      <c r="K47" s="82">
        <v>0.5</v>
      </c>
      <c r="L47" s="10" t="s">
        <v>283</v>
      </c>
    </row>
    <row r="48" spans="2:13">
      <c r="B48" t="s">
        <v>284</v>
      </c>
      <c r="H48" s="10">
        <v>100</v>
      </c>
      <c r="I48" s="10" t="s">
        <v>133</v>
      </c>
      <c r="K48" s="82">
        <v>0.9</v>
      </c>
      <c r="L48" s="10" t="s">
        <v>285</v>
      </c>
    </row>
    <row r="49" spans="2:16">
      <c r="C49" s="81" t="s">
        <v>309</v>
      </c>
      <c r="D49" s="81" t="s">
        <v>286</v>
      </c>
      <c r="E49" s="41"/>
      <c r="F49" s="100" t="s">
        <v>310</v>
      </c>
      <c r="O49" s="88">
        <f>SUM($G$51:$G$58)/ (COUNTA($H$51:$H$58)*100)</f>
        <v>0.5714285714285714</v>
      </c>
    </row>
    <row r="50" spans="2:16">
      <c r="B50" s="10" t="s">
        <v>287</v>
      </c>
      <c r="C50" s="10" t="s">
        <v>132</v>
      </c>
      <c r="D50" s="75">
        <v>50</v>
      </c>
      <c r="E50" s="107"/>
      <c r="F50" s="105" t="s">
        <v>288</v>
      </c>
      <c r="G50" s="86" t="s">
        <v>289</v>
      </c>
      <c r="H50" s="86" t="s">
        <v>290</v>
      </c>
    </row>
    <row r="51" spans="2:16">
      <c r="B51" s="10" t="s">
        <v>291</v>
      </c>
      <c r="C51" s="10" t="s">
        <v>131</v>
      </c>
      <c r="D51" s="75">
        <v>25</v>
      </c>
      <c r="E51" s="107"/>
      <c r="F51" s="102" t="s">
        <v>179</v>
      </c>
      <c r="G51" s="10">
        <f>_xlfn.IFNA( INDEX($H$46:$I$48,MATCH(H51, $I$46:$I$48, 0), 1), "")</f>
        <v>50</v>
      </c>
      <c r="H51" s="10" t="s">
        <v>132</v>
      </c>
      <c r="J51" s="87" t="s">
        <v>130</v>
      </c>
      <c r="K51" s="87" t="s">
        <v>137</v>
      </c>
      <c r="L51" s="87" t="s">
        <v>272</v>
      </c>
    </row>
    <row r="52" spans="2:16">
      <c r="B52" s="10" t="s">
        <v>57</v>
      </c>
      <c r="C52" s="10" t="s">
        <v>133</v>
      </c>
      <c r="D52" s="75">
        <v>90</v>
      </c>
      <c r="E52" s="107"/>
      <c r="F52" s="102" t="s">
        <v>65</v>
      </c>
      <c r="G52" s="10">
        <f t="shared" ref="G52:G58" si="0">_xlfn.IFNA( INDEX($H$46:$I$48,MATCH(H52, $I$46:$I$48, 0), 1), "")</f>
        <v>100</v>
      </c>
      <c r="H52" s="10" t="s">
        <v>133</v>
      </c>
      <c r="J52" s="191">
        <f>COUNT($G$51:$G$58) / COUNTA($F$51:$F$58)</f>
        <v>0.875</v>
      </c>
      <c r="K52" s="88">
        <f>SUM($G$51:$G$58) / (COUNTA($F$51:$F$58)*100)</f>
        <v>0.5</v>
      </c>
      <c r="L52" s="10" t="str">
        <f>INDEX($K$46:$L$48, MATCH(K52, $K$46:$K$48,1), 2)</f>
        <v>Intermediate</v>
      </c>
      <c r="O52">
        <f>COUNTA(H51:H58)/ COUNTA(F51:F58)</f>
        <v>0.875</v>
      </c>
      <c r="P52">
        <f>SUM($G$51:$G$58)/ (COUNTA(H51:H58)*100)</f>
        <v>0.5714285714285714</v>
      </c>
    </row>
    <row r="53" spans="2:16">
      <c r="B53" s="10" t="s">
        <v>292</v>
      </c>
      <c r="C53" s="10" t="s">
        <v>133</v>
      </c>
      <c r="D53" s="75">
        <v>90</v>
      </c>
      <c r="E53" s="107"/>
      <c r="F53" s="102" t="s">
        <v>75</v>
      </c>
      <c r="G53" s="10">
        <f t="shared" si="0"/>
        <v>100</v>
      </c>
      <c r="H53" s="10" t="s">
        <v>133</v>
      </c>
    </row>
    <row r="54" spans="2:16">
      <c r="B54" s="10" t="s">
        <v>293</v>
      </c>
      <c r="C54" s="10"/>
      <c r="D54" s="75"/>
      <c r="E54" s="107"/>
      <c r="F54" s="102" t="s">
        <v>81</v>
      </c>
      <c r="G54" s="10">
        <f t="shared" si="0"/>
        <v>25</v>
      </c>
      <c r="H54" s="10" t="s">
        <v>131</v>
      </c>
      <c r="J54" t="s">
        <v>294</v>
      </c>
    </row>
    <row r="55" spans="2:16">
      <c r="B55" s="10" t="s">
        <v>295</v>
      </c>
      <c r="C55" s="10"/>
      <c r="D55" s="75"/>
      <c r="E55" s="107"/>
      <c r="F55" s="106" t="s">
        <v>296</v>
      </c>
      <c r="G55" s="10">
        <f t="shared" si="0"/>
        <v>50</v>
      </c>
      <c r="H55" s="10" t="s">
        <v>132</v>
      </c>
      <c r="J55" t="s">
        <v>297</v>
      </c>
    </row>
    <row r="56" spans="2:16">
      <c r="F56" s="10" t="s">
        <v>298</v>
      </c>
      <c r="G56" s="10" t="str">
        <f t="shared" si="0"/>
        <v/>
      </c>
      <c r="H56" s="10"/>
      <c r="K56" t="s">
        <v>299</v>
      </c>
    </row>
    <row r="57" spans="2:16">
      <c r="F57" s="10" t="s">
        <v>300</v>
      </c>
      <c r="G57" s="10">
        <f t="shared" si="0"/>
        <v>50</v>
      </c>
      <c r="H57" s="10" t="s">
        <v>132</v>
      </c>
      <c r="K57" t="s">
        <v>301</v>
      </c>
    </row>
    <row r="58" spans="2:16">
      <c r="B58" t="s">
        <v>302</v>
      </c>
      <c r="C58">
        <f>COUNTA(B50:B55) * 100</f>
        <v>600</v>
      </c>
      <c r="F58" s="10" t="s">
        <v>303</v>
      </c>
      <c r="G58" s="10">
        <f t="shared" si="0"/>
        <v>25</v>
      </c>
      <c r="H58" s="10" t="s">
        <v>131</v>
      </c>
    </row>
    <row r="59" spans="2:16">
      <c r="B59" t="s">
        <v>304</v>
      </c>
      <c r="C59">
        <f>SUM(D50:D55)</f>
        <v>255</v>
      </c>
      <c r="G59" s="10" t="str">
        <f t="shared" ref="G52:G59" si="1">_xlfn.XLOOKUP(H59, $I$46:$I$48, $H$46:$H$48,"",0)</f>
        <v/>
      </c>
    </row>
    <row r="60" spans="2:16">
      <c r="G60" s="41" t="s">
        <v>57</v>
      </c>
    </row>
    <row r="61" spans="2:16">
      <c r="B61" t="s">
        <v>305</v>
      </c>
      <c r="C61" s="89">
        <f>C59/C58</f>
        <v>0.42499999999999999</v>
      </c>
    </row>
  </sheetData>
  <mergeCells count="5">
    <mergeCell ref="F25:G26"/>
    <mergeCell ref="C27:D27"/>
    <mergeCell ref="K35:K38"/>
    <mergeCell ref="L35:M38"/>
    <mergeCell ref="I42:I43"/>
  </mergeCells>
  <dataValidations count="1">
    <dataValidation type="list" allowBlank="1" showInputMessage="1" showErrorMessage="1" sqref="H51:H58" xr:uid="{307B3892-958B-4650-86C9-8BA4224FDF25}">
      <formula1>$I$46:$I$48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EB76-B198-4643-BC1B-17198C9D09CB}">
  <dimension ref="A1:H114"/>
  <sheetViews>
    <sheetView zoomScale="92" zoomScaleNormal="100" workbookViewId="0">
      <selection activeCell="C5" sqref="C5:C13"/>
    </sheetView>
  </sheetViews>
  <sheetFormatPr defaultColWidth="11.19921875" defaultRowHeight="15.6"/>
  <cols>
    <col min="1" max="1" width="27.5" customWidth="1"/>
    <col min="2" max="2" width="24.19921875" style="40" customWidth="1"/>
    <col min="3" max="3" width="74.796875" customWidth="1"/>
    <col min="4" max="4" width="26" style="4" customWidth="1"/>
    <col min="5" max="5" width="10.5" style="4" customWidth="1"/>
    <col min="6" max="6" width="10.796875" style="37"/>
    <col min="7" max="7" width="19.69921875" customWidth="1"/>
    <col min="12" max="12" width="12.296875" customWidth="1"/>
  </cols>
  <sheetData>
    <row r="1" spans="1:8" ht="18.600000000000001" thickBot="1">
      <c r="A1" s="13" t="s">
        <v>6</v>
      </c>
      <c r="B1" s="38" t="s">
        <v>7</v>
      </c>
      <c r="C1" s="13" t="s">
        <v>8</v>
      </c>
      <c r="D1" s="13" t="s">
        <v>147</v>
      </c>
      <c r="E1" s="13" t="s">
        <v>138</v>
      </c>
    </row>
    <row r="2" spans="1:8" ht="19.05" customHeight="1">
      <c r="A2" s="139" t="s">
        <v>9</v>
      </c>
      <c r="B2" s="31" t="s">
        <v>171</v>
      </c>
      <c r="C2" s="29" t="s">
        <v>172</v>
      </c>
      <c r="D2" s="109" t="s">
        <v>133</v>
      </c>
      <c r="E2" s="15">
        <f>_xlfn.IFNA( VLOOKUP($D2, 'Goals Data'!$A$8:$B$11, 2, 0),"")</f>
        <v>100</v>
      </c>
      <c r="G2" s="46" t="s">
        <v>199</v>
      </c>
    </row>
    <row r="3" spans="1:8" ht="19.05" customHeight="1">
      <c r="A3" s="139"/>
      <c r="B3" s="31" t="s">
        <v>173</v>
      </c>
      <c r="C3" s="36" t="s">
        <v>10</v>
      </c>
      <c r="D3" s="110" t="s">
        <v>133</v>
      </c>
      <c r="E3" s="15">
        <f>_xlfn.IFNA( VLOOKUP($D3, 'Goals Data'!$A$8:$B$11, 2, 0),"")</f>
        <v>100</v>
      </c>
      <c r="H3" s="47" t="s">
        <v>200</v>
      </c>
    </row>
    <row r="4" spans="1:8" ht="19.95" customHeight="1" thickBot="1">
      <c r="A4" s="140"/>
      <c r="B4" s="39" t="s">
        <v>174</v>
      </c>
      <c r="C4" s="24" t="s">
        <v>11</v>
      </c>
      <c r="D4" s="111" t="s">
        <v>133</v>
      </c>
      <c r="E4" s="15">
        <f>_xlfn.IFNA( VLOOKUP($D4, 'Goals Data'!$A$8:$B$11, 2, 0),"")</f>
        <v>100</v>
      </c>
    </row>
    <row r="5" spans="1:8" ht="19.05" customHeight="1">
      <c r="A5" s="150" t="s">
        <v>12</v>
      </c>
      <c r="B5" s="31" t="s">
        <v>13</v>
      </c>
      <c r="C5" s="25" t="s">
        <v>14</v>
      </c>
      <c r="D5" s="109" t="s">
        <v>133</v>
      </c>
      <c r="E5" s="15">
        <f>_xlfn.IFNA( VLOOKUP($D5, 'Goals Data'!$A$8:$B$11, 2, 0),"")</f>
        <v>100</v>
      </c>
      <c r="G5" s="47" t="s">
        <v>202</v>
      </c>
    </row>
    <row r="6" spans="1:8" ht="19.05" customHeight="1">
      <c r="A6" s="151"/>
      <c r="B6" s="144" t="s">
        <v>15</v>
      </c>
      <c r="C6" s="23" t="s">
        <v>16</v>
      </c>
      <c r="D6" s="110"/>
      <c r="E6" s="15" t="str">
        <f>_xlfn.IFNA( VLOOKUP($D6, 'Goals Data'!$A$8:$B$11, 2, 0),"")</f>
        <v/>
      </c>
    </row>
    <row r="7" spans="1:8" ht="19.95" customHeight="1">
      <c r="A7" s="151"/>
      <c r="B7" s="146"/>
      <c r="C7" s="36" t="s">
        <v>17</v>
      </c>
      <c r="D7" s="110"/>
      <c r="E7" s="15" t="str">
        <f>_xlfn.IFNA( VLOOKUP($D7, 'Goals Data'!$A$8:$B$11, 2, 0),"")</f>
        <v/>
      </c>
      <c r="G7" s="47" t="s">
        <v>201</v>
      </c>
    </row>
    <row r="8" spans="1:8" ht="19.95" customHeight="1">
      <c r="A8" s="151"/>
      <c r="B8" s="26" t="s">
        <v>18</v>
      </c>
      <c r="C8" s="23" t="s">
        <v>175</v>
      </c>
      <c r="D8" s="110" t="s">
        <v>133</v>
      </c>
      <c r="E8" s="15">
        <f>_xlfn.IFNA( VLOOKUP($D8, 'Goals Data'!$A$8:$B$11, 2, 0),"")</f>
        <v>100</v>
      </c>
    </row>
    <row r="9" spans="1:8" ht="19.05" customHeight="1">
      <c r="A9" s="151"/>
      <c r="B9" s="144" t="s">
        <v>19</v>
      </c>
      <c r="C9" s="27" t="s">
        <v>20</v>
      </c>
      <c r="D9" s="110" t="s">
        <v>133</v>
      </c>
      <c r="E9" s="15">
        <f>_xlfn.IFNA( VLOOKUP($D9, 'Goals Data'!$A$8:$B$11, 2, 0),"")</f>
        <v>100</v>
      </c>
      <c r="G9" s="48"/>
    </row>
    <row r="10" spans="1:8" ht="19.95" customHeight="1">
      <c r="A10" s="151"/>
      <c r="B10" s="145"/>
      <c r="C10" s="23" t="s">
        <v>21</v>
      </c>
      <c r="D10" s="110" t="s">
        <v>132</v>
      </c>
      <c r="E10" s="15">
        <f>_xlfn.IFNA( VLOOKUP($D10, 'Goals Data'!$A$8:$B$11, 2, 0),"")</f>
        <v>50</v>
      </c>
    </row>
    <row r="11" spans="1:8" ht="19.05" customHeight="1">
      <c r="A11" s="151"/>
      <c r="B11" s="145"/>
      <c r="C11" s="27" t="s">
        <v>22</v>
      </c>
      <c r="D11" s="110" t="s">
        <v>132</v>
      </c>
      <c r="E11" s="15">
        <f>_xlfn.IFNA( VLOOKUP($D11, 'Goals Data'!$A$8:$B$11, 2, 0),"")</f>
        <v>50</v>
      </c>
    </row>
    <row r="12" spans="1:8" ht="19.05" customHeight="1">
      <c r="A12" s="151"/>
      <c r="B12" s="145"/>
      <c r="C12" s="23" t="s">
        <v>23</v>
      </c>
      <c r="D12" s="110" t="s">
        <v>132</v>
      </c>
      <c r="E12" s="15">
        <f>_xlfn.IFNA( VLOOKUP($D12, 'Goals Data'!$A$8:$B$11, 2, 0),"")</f>
        <v>50</v>
      </c>
    </row>
    <row r="13" spans="1:8" ht="19.95" customHeight="1" thickBot="1">
      <c r="A13" s="152"/>
      <c r="B13" s="147"/>
      <c r="C13" s="28" t="s">
        <v>24</v>
      </c>
      <c r="D13" s="111" t="s">
        <v>133</v>
      </c>
      <c r="E13" s="15">
        <f>_xlfn.IFNA( VLOOKUP($D13, 'Goals Data'!$A$8:$B$11, 2, 0),"")</f>
        <v>100</v>
      </c>
    </row>
    <row r="14" spans="1:8" ht="19.05" customHeight="1">
      <c r="A14" s="150" t="s">
        <v>25</v>
      </c>
      <c r="B14" s="153" t="s">
        <v>26</v>
      </c>
      <c r="C14" s="29" t="s">
        <v>27</v>
      </c>
      <c r="D14" s="109" t="s">
        <v>133</v>
      </c>
      <c r="E14" s="15">
        <f>_xlfn.IFNA( VLOOKUP($D14, 'Goals Data'!$A$8:$B$11, 2, 0),"")</f>
        <v>100</v>
      </c>
    </row>
    <row r="15" spans="1:8" ht="19.05" customHeight="1">
      <c r="A15" s="151"/>
      <c r="B15" s="153"/>
      <c r="C15" s="27" t="s">
        <v>28</v>
      </c>
      <c r="D15" s="110" t="s">
        <v>133</v>
      </c>
      <c r="E15" s="15">
        <f>_xlfn.IFNA( VLOOKUP($D15, 'Goals Data'!$A$8:$B$11, 2, 0),"")</f>
        <v>100</v>
      </c>
    </row>
    <row r="16" spans="1:8" ht="19.05" customHeight="1">
      <c r="A16" s="151"/>
      <c r="B16" s="153"/>
      <c r="C16" s="23" t="s">
        <v>29</v>
      </c>
      <c r="D16" s="110" t="s">
        <v>132</v>
      </c>
      <c r="E16" s="15">
        <f>_xlfn.IFNA( VLOOKUP($D16, 'Goals Data'!$A$8:$B$11, 2, 0),"")</f>
        <v>50</v>
      </c>
    </row>
    <row r="17" spans="1:5" ht="19.05" customHeight="1">
      <c r="A17" s="151"/>
      <c r="B17" s="153"/>
      <c r="C17" s="27" t="s">
        <v>30</v>
      </c>
      <c r="D17" s="110" t="s">
        <v>132</v>
      </c>
      <c r="E17" s="15">
        <f>_xlfn.IFNA( VLOOKUP($D17, 'Goals Data'!$A$8:$B$11, 2, 0),"")</f>
        <v>50</v>
      </c>
    </row>
    <row r="18" spans="1:5" ht="19.05" customHeight="1">
      <c r="A18" s="151"/>
      <c r="B18" s="153"/>
      <c r="C18" s="23" t="s">
        <v>31</v>
      </c>
      <c r="D18" s="110" t="s">
        <v>132</v>
      </c>
      <c r="E18" s="15">
        <f>_xlfn.IFNA( VLOOKUP($D18, 'Goals Data'!$A$8:$B$11, 2, 0),"")</f>
        <v>50</v>
      </c>
    </row>
    <row r="19" spans="1:5" ht="19.05" customHeight="1">
      <c r="A19" s="151"/>
      <c r="B19" s="153"/>
      <c r="C19" s="27" t="s">
        <v>32</v>
      </c>
      <c r="D19" s="110" t="s">
        <v>133</v>
      </c>
      <c r="E19" s="15">
        <f>_xlfn.IFNA( VLOOKUP($D19, 'Goals Data'!$A$8:$B$11, 2, 0),"")</f>
        <v>100</v>
      </c>
    </row>
    <row r="20" spans="1:5" ht="16.95" customHeight="1">
      <c r="A20" s="151"/>
      <c r="B20" s="153"/>
      <c r="C20" s="23" t="s">
        <v>176</v>
      </c>
      <c r="D20" s="110" t="s">
        <v>131</v>
      </c>
      <c r="E20" s="15">
        <f>_xlfn.IFNA( VLOOKUP($D20, 'Goals Data'!$A$8:$B$11, 2, 0),"")</f>
        <v>25</v>
      </c>
    </row>
    <row r="21" spans="1:5" ht="19.05" customHeight="1">
      <c r="A21" s="151"/>
      <c r="B21" s="154" t="s">
        <v>33</v>
      </c>
      <c r="C21" s="27" t="s">
        <v>34</v>
      </c>
      <c r="D21" s="110" t="s">
        <v>132</v>
      </c>
      <c r="E21" s="15">
        <f>_xlfn.IFNA( VLOOKUP($D21, 'Goals Data'!$A$8:$B$11, 2, 0),"")</f>
        <v>50</v>
      </c>
    </row>
    <row r="22" spans="1:5" ht="19.95" customHeight="1">
      <c r="A22" s="151"/>
      <c r="B22" s="154"/>
      <c r="C22" s="23" t="s">
        <v>35</v>
      </c>
      <c r="D22" s="110" t="s">
        <v>131</v>
      </c>
      <c r="E22" s="15">
        <f>_xlfn.IFNA( VLOOKUP($D22, 'Goals Data'!$A$8:$B$11, 2, 0),"")</f>
        <v>25</v>
      </c>
    </row>
    <row r="23" spans="1:5" ht="19.05" customHeight="1">
      <c r="A23" s="151"/>
      <c r="B23" s="26" t="s">
        <v>36</v>
      </c>
      <c r="C23" s="27" t="s">
        <v>37</v>
      </c>
      <c r="D23" s="110" t="s">
        <v>131</v>
      </c>
      <c r="E23" s="15">
        <f>_xlfn.IFNA( VLOOKUP($D23, 'Goals Data'!$A$8:$B$11, 2, 0),"")</f>
        <v>25</v>
      </c>
    </row>
    <row r="24" spans="1:5" ht="19.05" customHeight="1">
      <c r="A24" s="151"/>
      <c r="B24" s="154" t="s">
        <v>38</v>
      </c>
      <c r="C24" s="23" t="s">
        <v>39</v>
      </c>
      <c r="D24" s="110" t="s">
        <v>131</v>
      </c>
      <c r="E24" s="15">
        <f>_xlfn.IFNA( VLOOKUP($D24, 'Goals Data'!$A$8:$B$11, 2, 0),"")</f>
        <v>25</v>
      </c>
    </row>
    <row r="25" spans="1:5" ht="19.05" customHeight="1">
      <c r="A25" s="151"/>
      <c r="B25" s="154"/>
      <c r="C25" s="27" t="s">
        <v>40</v>
      </c>
      <c r="D25" s="110" t="s">
        <v>132</v>
      </c>
      <c r="E25" s="15">
        <f>_xlfn.IFNA( VLOOKUP($D25, 'Goals Data'!$A$8:$B$11, 2, 0),"")</f>
        <v>50</v>
      </c>
    </row>
    <row r="26" spans="1:5" ht="19.05" customHeight="1">
      <c r="A26" s="151"/>
      <c r="B26" s="154"/>
      <c r="C26" s="23" t="s">
        <v>41</v>
      </c>
      <c r="D26" s="110" t="s">
        <v>133</v>
      </c>
      <c r="E26" s="15">
        <f>_xlfn.IFNA( VLOOKUP($D26, 'Goals Data'!$A$8:$B$11, 2, 0),"")</f>
        <v>100</v>
      </c>
    </row>
    <row r="27" spans="1:5" ht="19.05" customHeight="1">
      <c r="A27" s="151"/>
      <c r="B27" s="153" t="s">
        <v>45</v>
      </c>
      <c r="C27" s="27" t="s">
        <v>46</v>
      </c>
      <c r="D27" s="110" t="s">
        <v>132</v>
      </c>
      <c r="E27" s="15">
        <f>_xlfn.IFNA( VLOOKUP($D27, 'Goals Data'!$A$8:$B$11, 2, 0),"")</f>
        <v>50</v>
      </c>
    </row>
    <row r="28" spans="1:5" ht="19.05" customHeight="1">
      <c r="A28" s="151"/>
      <c r="B28" s="153"/>
      <c r="C28" s="23" t="s">
        <v>47</v>
      </c>
      <c r="D28" s="110"/>
      <c r="E28" s="15" t="str">
        <f>_xlfn.IFNA( VLOOKUP($D28, 'Goals Data'!$A$8:$B$11, 2, 0),"")</f>
        <v/>
      </c>
    </row>
    <row r="29" spans="1:5" ht="19.05" customHeight="1">
      <c r="A29" s="151"/>
      <c r="B29" s="144" t="s">
        <v>48</v>
      </c>
      <c r="C29" s="27" t="s">
        <v>177</v>
      </c>
      <c r="D29" s="110"/>
      <c r="E29" s="15" t="str">
        <f>_xlfn.IFNA( VLOOKUP($D29, 'Goals Data'!$A$8:$B$11, 2, 0),"")</f>
        <v/>
      </c>
    </row>
    <row r="30" spans="1:5" ht="19.05" customHeight="1">
      <c r="A30" s="151"/>
      <c r="B30" s="145"/>
      <c r="C30" s="23" t="s">
        <v>178</v>
      </c>
      <c r="D30" s="110"/>
      <c r="E30" s="15" t="str">
        <f>_xlfn.IFNA( VLOOKUP($D30, 'Goals Data'!$A$8:$B$11, 2, 0),"")</f>
        <v/>
      </c>
    </row>
    <row r="31" spans="1:5" ht="19.05" customHeight="1">
      <c r="A31" s="151"/>
      <c r="B31" s="145"/>
      <c r="C31" s="27" t="s">
        <v>49</v>
      </c>
      <c r="D31" s="110"/>
      <c r="E31" s="15" t="str">
        <f>_xlfn.IFNA( VLOOKUP($D31, 'Goals Data'!$A$8:$B$11, 2, 0),"")</f>
        <v/>
      </c>
    </row>
    <row r="32" spans="1:5" ht="19.05" customHeight="1">
      <c r="A32" s="151"/>
      <c r="B32" s="145"/>
      <c r="C32" s="23" t="s">
        <v>50</v>
      </c>
      <c r="D32" s="110"/>
      <c r="E32" s="15" t="str">
        <f>_xlfn.IFNA( VLOOKUP($D32, 'Goals Data'!$A$8:$B$11, 2, 0),"")</f>
        <v/>
      </c>
    </row>
    <row r="33" spans="1:5" ht="19.05" customHeight="1">
      <c r="A33" s="151"/>
      <c r="B33" s="145"/>
      <c r="C33" s="27" t="s">
        <v>51</v>
      </c>
      <c r="D33" s="110"/>
      <c r="E33" s="15" t="str">
        <f>_xlfn.IFNA( VLOOKUP($D33, 'Goals Data'!$A$8:$B$11, 2, 0),"")</f>
        <v/>
      </c>
    </row>
    <row r="34" spans="1:5" ht="19.05" customHeight="1">
      <c r="A34" s="151"/>
      <c r="B34" s="145"/>
      <c r="C34" s="23" t="s">
        <v>52</v>
      </c>
      <c r="D34" s="110"/>
      <c r="E34" s="15" t="str">
        <f>_xlfn.IFNA( VLOOKUP($D34, 'Goals Data'!$A$8:$B$11, 2, 0),"")</f>
        <v/>
      </c>
    </row>
    <row r="35" spans="1:5" ht="19.05" customHeight="1">
      <c r="A35" s="151"/>
      <c r="B35" s="145"/>
      <c r="C35" s="27" t="s">
        <v>53</v>
      </c>
      <c r="D35" s="110"/>
      <c r="E35" s="15" t="str">
        <f>_xlfn.IFNA( VLOOKUP($D35, 'Goals Data'!$A$8:$B$11, 2, 0),"")</f>
        <v/>
      </c>
    </row>
    <row r="36" spans="1:5" ht="19.05" customHeight="1">
      <c r="A36" s="151"/>
      <c r="B36" s="145"/>
      <c r="C36" s="23" t="s">
        <v>54</v>
      </c>
      <c r="D36" s="110"/>
      <c r="E36" s="15" t="str">
        <f>_xlfn.IFNA( VLOOKUP($D36, 'Goals Data'!$A$8:$B$11, 2, 0),"")</f>
        <v/>
      </c>
    </row>
    <row r="37" spans="1:5" ht="19.05" customHeight="1">
      <c r="A37" s="151"/>
      <c r="B37" s="145"/>
      <c r="C37" s="27" t="s">
        <v>55</v>
      </c>
      <c r="D37" s="110"/>
      <c r="E37" s="15" t="str">
        <f>_xlfn.IFNA( VLOOKUP($D37, 'Goals Data'!$A$8:$B$11, 2, 0),"")</f>
        <v/>
      </c>
    </row>
    <row r="38" spans="1:5" ht="19.05" customHeight="1" thickBot="1">
      <c r="A38" s="152"/>
      <c r="B38" s="147"/>
      <c r="C38" s="24" t="s">
        <v>56</v>
      </c>
      <c r="D38" s="111"/>
      <c r="E38" s="15" t="str">
        <f>_xlfn.IFNA( VLOOKUP($D38, 'Goals Data'!$A$8:$B$11, 2, 0),"")</f>
        <v/>
      </c>
    </row>
    <row r="39" spans="1:5" ht="19.95" customHeight="1">
      <c r="A39" s="150" t="s">
        <v>57</v>
      </c>
      <c r="B39" s="153" t="s">
        <v>58</v>
      </c>
      <c r="C39" s="25" t="s">
        <v>59</v>
      </c>
      <c r="D39" s="109"/>
      <c r="E39" s="15" t="str">
        <f>_xlfn.IFNA( VLOOKUP($D39, 'Goals Data'!$A$8:$B$11, 2, 0),"")</f>
        <v/>
      </c>
    </row>
    <row r="40" spans="1:5" ht="19.05" customHeight="1">
      <c r="A40" s="151"/>
      <c r="B40" s="153"/>
      <c r="C40" s="23" t="s">
        <v>60</v>
      </c>
      <c r="D40" s="110"/>
      <c r="E40" s="15" t="str">
        <f>_xlfn.IFNA( VLOOKUP($D40, 'Goals Data'!$A$8:$B$11, 2, 0),"")</f>
        <v/>
      </c>
    </row>
    <row r="41" spans="1:5" ht="19.05" customHeight="1">
      <c r="A41" s="151"/>
      <c r="B41" s="153"/>
      <c r="C41" s="27" t="s">
        <v>61</v>
      </c>
      <c r="D41" s="110"/>
      <c r="E41" s="15" t="str">
        <f>_xlfn.IFNA( VLOOKUP($D41, 'Goals Data'!$A$8:$B$11, 2, 0),"")</f>
        <v/>
      </c>
    </row>
    <row r="42" spans="1:5" ht="19.05" customHeight="1">
      <c r="A42" s="151"/>
      <c r="B42" s="153"/>
      <c r="C42" s="23" t="s">
        <v>62</v>
      </c>
      <c r="D42" s="110"/>
      <c r="E42" s="15" t="str">
        <f>_xlfn.IFNA( VLOOKUP($D42, 'Goals Data'!$A$8:$B$11, 2, 0),"")</f>
        <v/>
      </c>
    </row>
    <row r="43" spans="1:5" ht="19.05" customHeight="1">
      <c r="A43" s="151"/>
      <c r="B43" s="153"/>
      <c r="C43" s="27" t="s">
        <v>63</v>
      </c>
      <c r="D43" s="110"/>
      <c r="E43" s="15" t="str">
        <f>_xlfn.IFNA( VLOOKUP($D43, 'Goals Data'!$A$8:$B$11, 2, 0),"")</f>
        <v/>
      </c>
    </row>
    <row r="44" spans="1:5" ht="19.05" customHeight="1">
      <c r="A44" s="151"/>
      <c r="B44" s="154" t="s">
        <v>64</v>
      </c>
      <c r="C44" s="23" t="s">
        <v>65</v>
      </c>
      <c r="D44" s="110"/>
      <c r="E44" s="15" t="str">
        <f>_xlfn.IFNA( VLOOKUP($D44, 'Goals Data'!$A$8:$B$11, 2, 0),"")</f>
        <v/>
      </c>
    </row>
    <row r="45" spans="1:5" ht="19.05" customHeight="1">
      <c r="A45" s="151"/>
      <c r="B45" s="154"/>
      <c r="C45" s="27" t="s">
        <v>66</v>
      </c>
      <c r="D45" s="110"/>
      <c r="E45" s="15" t="str">
        <f>_xlfn.IFNA( VLOOKUP($D45, 'Goals Data'!$A$8:$B$11, 2, 0),"")</f>
        <v/>
      </c>
    </row>
    <row r="46" spans="1:5" ht="19.05" customHeight="1">
      <c r="A46" s="151"/>
      <c r="B46" s="154"/>
      <c r="C46" s="23" t="s">
        <v>67</v>
      </c>
      <c r="D46" s="110"/>
      <c r="E46" s="15" t="str">
        <f>_xlfn.IFNA( VLOOKUP($D46, 'Goals Data'!$A$8:$B$11, 2, 0),"")</f>
        <v/>
      </c>
    </row>
    <row r="47" spans="1:5" ht="19.05" customHeight="1">
      <c r="A47" s="151"/>
      <c r="B47" s="154"/>
      <c r="C47" s="27" t="s">
        <v>68</v>
      </c>
      <c r="D47" s="110"/>
      <c r="E47" s="15" t="str">
        <f>_xlfn.IFNA( VLOOKUP($D47, 'Goals Data'!$A$8:$B$11, 2, 0),"")</f>
        <v/>
      </c>
    </row>
    <row r="48" spans="1:5" ht="19.05" customHeight="1">
      <c r="A48" s="151"/>
      <c r="B48" s="154"/>
      <c r="C48" s="23" t="s">
        <v>69</v>
      </c>
      <c r="D48" s="110"/>
      <c r="E48" s="15" t="str">
        <f>_xlfn.IFNA( VLOOKUP($D48, 'Goals Data'!$A$8:$B$11, 2, 0),"")</f>
        <v/>
      </c>
    </row>
    <row r="49" spans="1:5" ht="19.05" customHeight="1">
      <c r="A49" s="151"/>
      <c r="B49" s="144" t="s">
        <v>70</v>
      </c>
      <c r="C49" s="27" t="s">
        <v>71</v>
      </c>
      <c r="D49" s="110"/>
      <c r="E49" s="15" t="str">
        <f>_xlfn.IFNA( VLOOKUP($D49, 'Goals Data'!$A$8:$B$11, 2, 0),"")</f>
        <v/>
      </c>
    </row>
    <row r="50" spans="1:5" ht="19.05" customHeight="1">
      <c r="A50" s="151"/>
      <c r="B50" s="145"/>
      <c r="C50" s="23" t="s">
        <v>72</v>
      </c>
      <c r="D50" s="110"/>
      <c r="E50" s="15" t="str">
        <f>_xlfn.IFNA( VLOOKUP($D50, 'Goals Data'!$A$8:$B$11, 2, 0),"")</f>
        <v/>
      </c>
    </row>
    <row r="51" spans="1:5" ht="19.05" customHeight="1">
      <c r="A51" s="151"/>
      <c r="B51" s="146"/>
      <c r="C51" s="27" t="s">
        <v>73</v>
      </c>
      <c r="D51" s="110"/>
      <c r="E51" s="15" t="str">
        <f>_xlfn.IFNA( VLOOKUP($D51, 'Goals Data'!$A$8:$B$11, 2, 0),"")</f>
        <v/>
      </c>
    </row>
    <row r="52" spans="1:5" ht="19.05" customHeight="1">
      <c r="A52" s="151"/>
      <c r="B52" s="144" t="s">
        <v>74</v>
      </c>
      <c r="C52" s="23" t="s">
        <v>75</v>
      </c>
      <c r="D52" s="110"/>
      <c r="E52" s="15" t="str">
        <f>_xlfn.IFNA( VLOOKUP($D52, 'Goals Data'!$A$8:$B$11, 2, 0),"")</f>
        <v/>
      </c>
    </row>
    <row r="53" spans="1:5" ht="19.05" customHeight="1">
      <c r="A53" s="151"/>
      <c r="B53" s="145"/>
      <c r="C53" s="27" t="s">
        <v>76</v>
      </c>
      <c r="D53" s="110"/>
      <c r="E53" s="15" t="str">
        <f>_xlfn.IFNA( VLOOKUP($D53, 'Goals Data'!$A$8:$B$11, 2, 0),"")</f>
        <v/>
      </c>
    </row>
    <row r="54" spans="1:5" ht="19.05" customHeight="1">
      <c r="A54" s="151"/>
      <c r="B54" s="145"/>
      <c r="C54" s="23" t="s">
        <v>77</v>
      </c>
      <c r="D54" s="110"/>
      <c r="E54" s="15" t="str">
        <f>_xlfn.IFNA( VLOOKUP($D54, 'Goals Data'!$A$8:$B$11, 2, 0),"")</f>
        <v/>
      </c>
    </row>
    <row r="55" spans="1:5" ht="19.05" customHeight="1">
      <c r="A55" s="151"/>
      <c r="B55" s="145"/>
      <c r="C55" s="27" t="s">
        <v>78</v>
      </c>
      <c r="D55" s="110"/>
      <c r="E55" s="15" t="str">
        <f>_xlfn.IFNA( VLOOKUP($D55, 'Goals Data'!$A$8:$B$11, 2, 0),"")</f>
        <v/>
      </c>
    </row>
    <row r="56" spans="1:5" ht="19.05" customHeight="1">
      <c r="A56" s="151"/>
      <c r="B56" s="146"/>
      <c r="C56" s="23" t="s">
        <v>79</v>
      </c>
      <c r="D56" s="110"/>
      <c r="E56" s="15" t="str">
        <f>_xlfn.IFNA( VLOOKUP($D56, 'Goals Data'!$A$8:$B$11, 2, 0),"")</f>
        <v/>
      </c>
    </row>
    <row r="57" spans="1:5" ht="19.05" customHeight="1">
      <c r="A57" s="151"/>
      <c r="B57" s="153" t="s">
        <v>80</v>
      </c>
      <c r="C57" s="27" t="s">
        <v>179</v>
      </c>
      <c r="D57" s="110"/>
      <c r="E57" s="15" t="str">
        <f>_xlfn.IFNA( VLOOKUP($D57, 'Goals Data'!$A$8:$B$11, 2, 0),"")</f>
        <v/>
      </c>
    </row>
    <row r="58" spans="1:5" ht="19.05" customHeight="1">
      <c r="A58" s="151"/>
      <c r="B58" s="153"/>
      <c r="C58" s="23" t="s">
        <v>180</v>
      </c>
      <c r="D58" s="110"/>
      <c r="E58" s="15" t="str">
        <f>_xlfn.IFNA( VLOOKUP($D58, 'Goals Data'!$A$8:$B$11, 2, 0),"")</f>
        <v/>
      </c>
    </row>
    <row r="59" spans="1:5" ht="19.05" customHeight="1">
      <c r="A59" s="151"/>
      <c r="B59" s="153"/>
      <c r="C59" s="27" t="s">
        <v>181</v>
      </c>
      <c r="D59" s="110"/>
      <c r="E59" s="15" t="str">
        <f>_xlfn.IFNA( VLOOKUP($D59, 'Goals Data'!$A$8:$B$11, 2, 0),"")</f>
        <v/>
      </c>
    </row>
    <row r="60" spans="1:5" ht="19.05" customHeight="1">
      <c r="A60" s="151"/>
      <c r="B60" s="153"/>
      <c r="C60" s="23" t="s">
        <v>81</v>
      </c>
      <c r="D60" s="110"/>
      <c r="E60" s="15" t="str">
        <f>_xlfn.IFNA( VLOOKUP($D60, 'Goals Data'!$A$8:$B$11, 2, 0),"")</f>
        <v/>
      </c>
    </row>
    <row r="61" spans="1:5" ht="19.05" customHeight="1">
      <c r="A61" s="151"/>
      <c r="B61" s="153"/>
      <c r="C61" s="27" t="s">
        <v>82</v>
      </c>
      <c r="D61" s="110"/>
      <c r="E61" s="15" t="str">
        <f>_xlfn.IFNA( VLOOKUP($D61, 'Goals Data'!$A$8:$B$11, 2, 0),"")</f>
        <v/>
      </c>
    </row>
    <row r="62" spans="1:5" ht="19.05" customHeight="1">
      <c r="A62" s="151"/>
      <c r="B62" s="153"/>
      <c r="C62" s="23" t="s">
        <v>83</v>
      </c>
      <c r="D62" s="110"/>
      <c r="E62" s="15" t="str">
        <f>_xlfn.IFNA( VLOOKUP($D62, 'Goals Data'!$A$8:$B$11, 2, 0),"")</f>
        <v/>
      </c>
    </row>
    <row r="63" spans="1:5" ht="19.05" customHeight="1">
      <c r="A63" s="151"/>
      <c r="B63" s="153"/>
      <c r="C63" s="27" t="s">
        <v>84</v>
      </c>
      <c r="D63" s="110"/>
      <c r="E63" s="15" t="str">
        <f>_xlfn.IFNA( VLOOKUP($D63, 'Goals Data'!$A$8:$B$11, 2, 0),"")</f>
        <v/>
      </c>
    </row>
    <row r="64" spans="1:5" ht="19.05" customHeight="1" thickBot="1">
      <c r="A64" s="151"/>
      <c r="B64" s="153"/>
      <c r="C64" s="24" t="s">
        <v>85</v>
      </c>
      <c r="D64" s="110"/>
      <c r="E64" s="15" t="str">
        <f>_xlfn.IFNA( VLOOKUP($D64, 'Goals Data'!$A$8:$B$11, 2, 0),"")</f>
        <v/>
      </c>
    </row>
    <row r="65" spans="1:5" ht="19.05" customHeight="1">
      <c r="A65" s="151"/>
      <c r="B65" s="144" t="s">
        <v>86</v>
      </c>
      <c r="C65" s="25" t="s">
        <v>87</v>
      </c>
      <c r="D65" s="110"/>
      <c r="E65" s="15" t="str">
        <f>_xlfn.IFNA( VLOOKUP($D65, 'Goals Data'!$A$8:$B$11, 2, 0),"")</f>
        <v/>
      </c>
    </row>
    <row r="66" spans="1:5" ht="19.05" customHeight="1">
      <c r="A66" s="151"/>
      <c r="B66" s="145"/>
      <c r="C66" s="23" t="s">
        <v>88</v>
      </c>
      <c r="D66" s="110"/>
      <c r="E66" s="15" t="str">
        <f>_xlfn.IFNA( VLOOKUP($D66, 'Goals Data'!$A$8:$B$11, 2, 0),"")</f>
        <v/>
      </c>
    </row>
    <row r="67" spans="1:5" ht="19.05" customHeight="1">
      <c r="A67" s="151"/>
      <c r="B67" s="145"/>
      <c r="C67" s="27" t="s">
        <v>89</v>
      </c>
      <c r="D67" s="110"/>
      <c r="E67" s="15" t="str">
        <f>_xlfn.IFNA( VLOOKUP($D67, 'Goals Data'!$A$8:$B$11, 2, 0),"")</f>
        <v/>
      </c>
    </row>
    <row r="68" spans="1:5" ht="19.05" customHeight="1">
      <c r="A68" s="151"/>
      <c r="B68" s="145"/>
      <c r="C68" s="23" t="s">
        <v>90</v>
      </c>
      <c r="D68" s="110"/>
      <c r="E68" s="15" t="str">
        <f>_xlfn.IFNA( VLOOKUP($D68, 'Goals Data'!$A$8:$B$11, 2, 0),"")</f>
        <v/>
      </c>
    </row>
    <row r="69" spans="1:5" ht="19.05" customHeight="1">
      <c r="A69" s="151"/>
      <c r="B69" s="145"/>
      <c r="C69" s="27" t="s">
        <v>91</v>
      </c>
      <c r="D69" s="110"/>
      <c r="E69" s="15" t="str">
        <f>_xlfn.IFNA( VLOOKUP($D69, 'Goals Data'!$A$8:$B$11, 2, 0),"")</f>
        <v/>
      </c>
    </row>
    <row r="70" spans="1:5" ht="19.05" customHeight="1">
      <c r="A70" s="151"/>
      <c r="B70" s="145"/>
      <c r="C70" s="23" t="s">
        <v>92</v>
      </c>
      <c r="D70" s="110"/>
      <c r="E70" s="15" t="str">
        <f>_xlfn.IFNA( VLOOKUP($D70, 'Goals Data'!$A$8:$B$11, 2, 0),"")</f>
        <v/>
      </c>
    </row>
    <row r="71" spans="1:5" ht="19.05" customHeight="1">
      <c r="A71" s="151"/>
      <c r="B71" s="145"/>
      <c r="C71" s="27" t="s">
        <v>93</v>
      </c>
      <c r="D71" s="110"/>
      <c r="E71" s="15" t="str">
        <f>_xlfn.IFNA( VLOOKUP($D71, 'Goals Data'!$A$8:$B$11, 2, 0),"")</f>
        <v/>
      </c>
    </row>
    <row r="72" spans="1:5" ht="19.05" customHeight="1">
      <c r="A72" s="151"/>
      <c r="B72" s="145"/>
      <c r="C72" s="23" t="s">
        <v>94</v>
      </c>
      <c r="D72" s="110"/>
      <c r="E72" s="15" t="str">
        <f>_xlfn.IFNA( VLOOKUP($D72, 'Goals Data'!$A$8:$B$11, 2, 0),"")</f>
        <v/>
      </c>
    </row>
    <row r="73" spans="1:5" ht="19.05" customHeight="1">
      <c r="A73" s="151"/>
      <c r="B73" s="145"/>
      <c r="C73" s="27" t="s">
        <v>95</v>
      </c>
      <c r="D73" s="110"/>
      <c r="E73" s="15" t="str">
        <f>_xlfn.IFNA( VLOOKUP($D73, 'Goals Data'!$A$8:$B$11, 2, 0),"")</f>
        <v/>
      </c>
    </row>
    <row r="74" spans="1:5" ht="19.05" customHeight="1">
      <c r="A74" s="151"/>
      <c r="B74" s="145"/>
      <c r="C74" s="23" t="s">
        <v>96</v>
      </c>
      <c r="D74" s="110"/>
      <c r="E74" s="15" t="str">
        <f>_xlfn.IFNA( VLOOKUP($D74, 'Goals Data'!$A$8:$B$11, 2, 0),"")</f>
        <v/>
      </c>
    </row>
    <row r="75" spans="1:5" ht="19.05" customHeight="1">
      <c r="A75" s="151"/>
      <c r="B75" s="146"/>
      <c r="C75" s="27" t="s">
        <v>97</v>
      </c>
      <c r="D75" s="110"/>
      <c r="E75" s="15" t="str">
        <f>_xlfn.IFNA( VLOOKUP($D75, 'Goals Data'!$A$8:$B$11, 2, 0),"")</f>
        <v/>
      </c>
    </row>
    <row r="76" spans="1:5" ht="19.05" customHeight="1">
      <c r="A76" s="151"/>
      <c r="B76" s="144" t="s">
        <v>98</v>
      </c>
      <c r="C76" s="23" t="s">
        <v>99</v>
      </c>
      <c r="D76" s="110"/>
      <c r="E76" s="15" t="str">
        <f>_xlfn.IFNA( VLOOKUP($D76, 'Goals Data'!$A$8:$B$11, 2, 0),"")</f>
        <v/>
      </c>
    </row>
    <row r="77" spans="1:5" ht="19.05" customHeight="1">
      <c r="A77" s="151"/>
      <c r="B77" s="145"/>
      <c r="C77" s="27" t="s">
        <v>100</v>
      </c>
      <c r="D77" s="110"/>
      <c r="E77" s="15" t="str">
        <f>_xlfn.IFNA( VLOOKUP($D77, 'Goals Data'!$A$8:$B$11, 2, 0),"")</f>
        <v/>
      </c>
    </row>
    <row r="78" spans="1:5" ht="19.05" customHeight="1">
      <c r="A78" s="151"/>
      <c r="B78" s="145"/>
      <c r="C78" s="23" t="s">
        <v>101</v>
      </c>
      <c r="D78" s="110"/>
      <c r="E78" s="15" t="str">
        <f>_xlfn.IFNA( VLOOKUP($D78, 'Goals Data'!$A$8:$B$11, 2, 0),"")</f>
        <v/>
      </c>
    </row>
    <row r="79" spans="1:5" ht="19.05" customHeight="1">
      <c r="A79" s="151"/>
      <c r="B79" s="146"/>
      <c r="C79" s="27" t="s">
        <v>102</v>
      </c>
      <c r="D79" s="110"/>
      <c r="E79" s="15" t="str">
        <f>_xlfn.IFNA( VLOOKUP($D79, 'Goals Data'!$A$8:$B$11, 2, 0),"")</f>
        <v/>
      </c>
    </row>
    <row r="80" spans="1:5" ht="19.05" customHeight="1">
      <c r="A80" s="151"/>
      <c r="B80" s="144" t="s">
        <v>103</v>
      </c>
      <c r="C80" s="27" t="s">
        <v>104</v>
      </c>
      <c r="D80" s="110"/>
      <c r="E80" s="15" t="str">
        <f>_xlfn.IFNA( VLOOKUP($D80, 'Goals Data'!$A$8:$B$11, 2, 0),"")</f>
        <v/>
      </c>
    </row>
    <row r="81" spans="1:5" ht="19.05" customHeight="1">
      <c r="A81" s="151"/>
      <c r="B81" s="145"/>
      <c r="C81" s="23" t="s">
        <v>105</v>
      </c>
      <c r="D81" s="110"/>
      <c r="E81" s="15" t="str">
        <f>_xlfn.IFNA( VLOOKUP($D81, 'Goals Data'!$A$8:$B$11, 2, 0),"")</f>
        <v/>
      </c>
    </row>
    <row r="82" spans="1:5" ht="19.05" customHeight="1">
      <c r="A82" s="151"/>
      <c r="B82" s="145"/>
      <c r="C82" s="27" t="s">
        <v>106</v>
      </c>
      <c r="D82" s="110"/>
      <c r="E82" s="15" t="str">
        <f>_xlfn.IFNA( VLOOKUP($D82, 'Goals Data'!$A$8:$B$11, 2, 0),"")</f>
        <v/>
      </c>
    </row>
    <row r="83" spans="1:5" ht="19.05" customHeight="1">
      <c r="A83" s="151"/>
      <c r="B83" s="145"/>
      <c r="C83" s="23" t="s">
        <v>107</v>
      </c>
      <c r="D83" s="110"/>
      <c r="E83" s="15" t="str">
        <f>_xlfn.IFNA( VLOOKUP($D83, 'Goals Data'!$A$8:$B$11, 2, 0),"")</f>
        <v/>
      </c>
    </row>
    <row r="84" spans="1:5" ht="19.05" customHeight="1">
      <c r="A84" s="151"/>
      <c r="B84" s="145"/>
      <c r="C84" s="27" t="s">
        <v>108</v>
      </c>
      <c r="D84" s="110"/>
      <c r="E84" s="15" t="str">
        <f>_xlfn.IFNA( VLOOKUP($D84, 'Goals Data'!$A$8:$B$11, 2, 0),"")</f>
        <v/>
      </c>
    </row>
    <row r="85" spans="1:5" ht="19.05" customHeight="1">
      <c r="A85" s="151"/>
      <c r="B85" s="145"/>
      <c r="C85" s="23" t="s">
        <v>109</v>
      </c>
      <c r="D85" s="110"/>
      <c r="E85" s="15" t="str">
        <f>_xlfn.IFNA( VLOOKUP($D85, 'Goals Data'!$A$8:$B$11, 2, 0),"")</f>
        <v/>
      </c>
    </row>
    <row r="86" spans="1:5" ht="19.05" customHeight="1">
      <c r="A86" s="151"/>
      <c r="B86" s="145"/>
      <c r="C86" s="27" t="s">
        <v>110</v>
      </c>
      <c r="D86" s="110"/>
      <c r="E86" s="15" t="str">
        <f>_xlfn.IFNA( VLOOKUP($D86, 'Goals Data'!$A$8:$B$11, 2, 0),"")</f>
        <v/>
      </c>
    </row>
    <row r="87" spans="1:5" ht="19.05" customHeight="1">
      <c r="A87" s="151"/>
      <c r="B87" s="145"/>
      <c r="C87" s="23" t="s">
        <v>111</v>
      </c>
      <c r="D87" s="110"/>
      <c r="E87" s="15" t="str">
        <f>_xlfn.IFNA( VLOOKUP($D87, 'Goals Data'!$A$8:$B$11, 2, 0),"")</f>
        <v/>
      </c>
    </row>
    <row r="88" spans="1:5" ht="19.05" customHeight="1" thickBot="1">
      <c r="A88" s="152"/>
      <c r="B88" s="147"/>
      <c r="C88" s="30" t="s">
        <v>112</v>
      </c>
      <c r="D88" s="111"/>
      <c r="E88" s="15" t="str">
        <f>_xlfn.IFNA( VLOOKUP($D88, 'Goals Data'!$A$8:$B$11, 2, 0),"")</f>
        <v/>
      </c>
    </row>
    <row r="89" spans="1:5" ht="19.05" customHeight="1">
      <c r="A89" s="148" t="s">
        <v>113</v>
      </c>
      <c r="B89" s="149" t="s">
        <v>114</v>
      </c>
      <c r="C89" s="29" t="s">
        <v>115</v>
      </c>
      <c r="D89" s="109"/>
      <c r="E89" s="15" t="str">
        <f>_xlfn.IFNA( VLOOKUP($D89, 'Goals Data'!$A$8:$B$11, 2, 0),"")</f>
        <v/>
      </c>
    </row>
    <row r="90" spans="1:5" ht="19.05" customHeight="1">
      <c r="A90" s="139"/>
      <c r="B90" s="145"/>
      <c r="C90" s="27" t="s">
        <v>116</v>
      </c>
      <c r="D90" s="110"/>
      <c r="E90" s="15" t="str">
        <f>_xlfn.IFNA( VLOOKUP($D90, 'Goals Data'!$A$8:$B$11, 2, 0),"")</f>
        <v/>
      </c>
    </row>
    <row r="91" spans="1:5" ht="21" customHeight="1">
      <c r="A91" s="139"/>
      <c r="B91" s="145"/>
      <c r="C91" s="23" t="s">
        <v>117</v>
      </c>
      <c r="D91" s="110"/>
      <c r="E91" s="15" t="str">
        <f>_xlfn.IFNA( VLOOKUP($D91, 'Goals Data'!$A$8:$B$11, 2, 0),"")</f>
        <v/>
      </c>
    </row>
    <row r="92" spans="1:5" ht="19.05" customHeight="1">
      <c r="A92" s="139"/>
      <c r="B92" s="146"/>
      <c r="C92" s="27" t="s">
        <v>118</v>
      </c>
      <c r="D92" s="110"/>
      <c r="E92" s="15" t="str">
        <f>_xlfn.IFNA( VLOOKUP($D92, 'Goals Data'!$A$8:$B$11, 2, 0),"")</f>
        <v/>
      </c>
    </row>
    <row r="93" spans="1:5" ht="19.05" customHeight="1">
      <c r="A93" s="139"/>
      <c r="B93" s="144" t="s">
        <v>119</v>
      </c>
      <c r="C93" s="23" t="s">
        <v>182</v>
      </c>
      <c r="D93" s="110"/>
      <c r="E93" s="15" t="str">
        <f>_xlfn.IFNA( VLOOKUP($D93, 'Goals Data'!$A$8:$B$11, 2, 0),"")</f>
        <v/>
      </c>
    </row>
    <row r="94" spans="1:5" ht="19.05" customHeight="1">
      <c r="A94" s="139"/>
      <c r="B94" s="145"/>
      <c r="C94" s="27" t="s">
        <v>120</v>
      </c>
      <c r="D94" s="110"/>
      <c r="E94" s="15" t="str">
        <f>_xlfn.IFNA( VLOOKUP($D94, 'Goals Data'!$A$8:$B$11, 2, 0),"")</f>
        <v/>
      </c>
    </row>
    <row r="95" spans="1:5" ht="19.05" customHeight="1">
      <c r="A95" s="139"/>
      <c r="B95" s="146"/>
      <c r="C95" s="23" t="s">
        <v>121</v>
      </c>
      <c r="D95" s="110"/>
      <c r="E95" s="15" t="str">
        <f>_xlfn.IFNA( VLOOKUP($D95, 'Goals Data'!$A$8:$B$11, 2, 0),"")</f>
        <v/>
      </c>
    </row>
    <row r="96" spans="1:5" ht="19.05" customHeight="1">
      <c r="A96" s="139"/>
      <c r="B96" s="144" t="s">
        <v>122</v>
      </c>
      <c r="C96" s="27" t="s">
        <v>123</v>
      </c>
      <c r="D96" s="110"/>
      <c r="E96" s="15" t="str">
        <f>_xlfn.IFNA( VLOOKUP($D96, 'Goals Data'!$A$8:$B$11, 2, 0),"")</f>
        <v/>
      </c>
    </row>
    <row r="97" spans="1:5" ht="19.05" customHeight="1">
      <c r="A97" s="139"/>
      <c r="B97" s="145"/>
      <c r="C97" s="23" t="s">
        <v>124</v>
      </c>
      <c r="D97" s="110"/>
      <c r="E97" s="15" t="str">
        <f>_xlfn.IFNA( VLOOKUP($D97, 'Goals Data'!$A$8:$B$11, 2, 0),"")</f>
        <v/>
      </c>
    </row>
    <row r="98" spans="1:5" ht="19.05" customHeight="1">
      <c r="A98" s="139"/>
      <c r="B98" s="145"/>
      <c r="C98" s="27" t="s">
        <v>125</v>
      </c>
      <c r="D98" s="110"/>
      <c r="E98" s="15" t="str">
        <f>_xlfn.IFNA( VLOOKUP($D98, 'Goals Data'!$A$8:$B$11, 2, 0),"")</f>
        <v/>
      </c>
    </row>
    <row r="99" spans="1:5" ht="19.05" customHeight="1">
      <c r="A99" s="139"/>
      <c r="B99" s="145"/>
      <c r="C99" s="23" t="s">
        <v>126</v>
      </c>
      <c r="D99" s="110"/>
      <c r="E99" s="15" t="str">
        <f>_xlfn.IFNA( VLOOKUP($D99, 'Goals Data'!$A$8:$B$11, 2, 0),"")</f>
        <v/>
      </c>
    </row>
    <row r="100" spans="1:5" ht="19.05" customHeight="1">
      <c r="A100" s="139"/>
      <c r="B100" s="145"/>
      <c r="C100" s="27" t="s">
        <v>127</v>
      </c>
      <c r="D100" s="110"/>
      <c r="E100" s="15" t="str">
        <f>_xlfn.IFNA( VLOOKUP($D100, 'Goals Data'!$A$8:$B$11, 2, 0),"")</f>
        <v/>
      </c>
    </row>
    <row r="101" spans="1:5" ht="19.05" customHeight="1">
      <c r="A101" s="139"/>
      <c r="B101" s="145"/>
      <c r="C101" s="23" t="s">
        <v>128</v>
      </c>
      <c r="D101" s="110"/>
      <c r="E101" s="15" t="str">
        <f>_xlfn.IFNA( VLOOKUP($D101, 'Goals Data'!$A$8:$B$11, 2, 0),"")</f>
        <v/>
      </c>
    </row>
    <row r="102" spans="1:5" ht="19.05" customHeight="1" thickBot="1">
      <c r="A102" s="140"/>
      <c r="B102" s="147"/>
      <c r="C102" s="32" t="s">
        <v>129</v>
      </c>
      <c r="D102" s="111"/>
      <c r="E102" s="15" t="str">
        <f>_xlfn.IFNA( VLOOKUP($D102, 'Goals Data'!$A$8:$B$11, 2, 0),"")</f>
        <v/>
      </c>
    </row>
    <row r="103" spans="1:5" ht="19.05" customHeight="1">
      <c r="A103" s="138" t="s">
        <v>183</v>
      </c>
      <c r="B103" s="141" t="s">
        <v>184</v>
      </c>
      <c r="C103" s="33" t="s">
        <v>185</v>
      </c>
      <c r="D103" s="109"/>
      <c r="E103" s="15" t="str">
        <f>_xlfn.IFNA( VLOOKUP($D103, 'Goals Data'!$A$8:$B$11, 2, 0),"")</f>
        <v/>
      </c>
    </row>
    <row r="104" spans="1:5" ht="19.05" customHeight="1">
      <c r="A104" s="139"/>
      <c r="B104" s="142"/>
      <c r="C104" s="34" t="s">
        <v>186</v>
      </c>
      <c r="D104" s="110"/>
      <c r="E104" s="15" t="str">
        <f>_xlfn.IFNA( VLOOKUP($D104, 'Goals Data'!$A$8:$B$11, 2, 0),"")</f>
        <v/>
      </c>
    </row>
    <row r="105" spans="1:5" ht="19.95" customHeight="1">
      <c r="A105" s="139"/>
      <c r="B105" s="142"/>
      <c r="C105" s="35" t="s">
        <v>187</v>
      </c>
      <c r="D105" s="110"/>
      <c r="E105" s="15" t="str">
        <f>_xlfn.IFNA( VLOOKUP($D105, 'Goals Data'!$A$8:$B$11, 2, 0),"")</f>
        <v/>
      </c>
    </row>
    <row r="106" spans="1:5" ht="18">
      <c r="A106" s="139"/>
      <c r="B106" s="142"/>
      <c r="C106" s="34" t="s">
        <v>188</v>
      </c>
      <c r="D106" s="110"/>
      <c r="E106" s="15" t="str">
        <f>_xlfn.IFNA( VLOOKUP($D106, 'Goals Data'!$A$8:$B$11, 2, 0),"")</f>
        <v/>
      </c>
    </row>
    <row r="107" spans="1:5" ht="18">
      <c r="A107" s="139"/>
      <c r="B107" s="142"/>
      <c r="C107" s="35" t="s">
        <v>189</v>
      </c>
      <c r="D107" s="110"/>
      <c r="E107" s="15" t="str">
        <f>_xlfn.IFNA( VLOOKUP($D107, 'Goals Data'!$A$8:$B$11, 2, 0),"")</f>
        <v/>
      </c>
    </row>
    <row r="108" spans="1:5" ht="18">
      <c r="A108" s="139"/>
      <c r="B108" s="142"/>
      <c r="C108" s="34" t="s">
        <v>190</v>
      </c>
      <c r="D108" s="110"/>
      <c r="E108" s="15" t="str">
        <f>_xlfn.IFNA( VLOOKUP($D108, 'Goals Data'!$A$8:$B$11, 2, 0),"")</f>
        <v/>
      </c>
    </row>
    <row r="109" spans="1:5" ht="18">
      <c r="A109" s="139"/>
      <c r="B109" s="142"/>
      <c r="C109" s="35" t="s">
        <v>191</v>
      </c>
      <c r="D109" s="110"/>
      <c r="E109" s="15" t="str">
        <f>_xlfn.IFNA( VLOOKUP($D109, 'Goals Data'!$A$8:$B$11, 2, 0),"")</f>
        <v/>
      </c>
    </row>
    <row r="110" spans="1:5" ht="18">
      <c r="A110" s="139"/>
      <c r="B110" s="142"/>
      <c r="C110" s="34" t="s">
        <v>192</v>
      </c>
      <c r="D110" s="110"/>
      <c r="E110" s="15" t="str">
        <f>_xlfn.IFNA( VLOOKUP($D110, 'Goals Data'!$A$8:$B$11, 2, 0),"")</f>
        <v/>
      </c>
    </row>
    <row r="111" spans="1:5" ht="18">
      <c r="A111" s="139"/>
      <c r="B111" s="142"/>
      <c r="C111" s="35" t="s">
        <v>193</v>
      </c>
      <c r="D111" s="110"/>
      <c r="E111" s="15" t="str">
        <f>_xlfn.IFNA( VLOOKUP($D111, 'Goals Data'!$A$8:$B$11, 2, 0),"")</f>
        <v/>
      </c>
    </row>
    <row r="112" spans="1:5" ht="18">
      <c r="A112" s="139"/>
      <c r="B112" s="142"/>
      <c r="C112" s="34" t="s">
        <v>42</v>
      </c>
      <c r="D112" s="110"/>
      <c r="E112" s="15" t="str">
        <f>_xlfn.IFNA( VLOOKUP($D112, 'Goals Data'!$A$8:$B$11, 2, 0),"")</f>
        <v/>
      </c>
    </row>
    <row r="113" spans="1:5" ht="18">
      <c r="A113" s="139"/>
      <c r="B113" s="142"/>
      <c r="C113" s="35" t="s">
        <v>43</v>
      </c>
      <c r="D113" s="110"/>
      <c r="E113" s="15" t="str">
        <f>_xlfn.IFNA( VLOOKUP($D113, 'Goals Data'!$A$8:$B$11, 2, 0),"")</f>
        <v/>
      </c>
    </row>
    <row r="114" spans="1:5" ht="18.600000000000001" thickBot="1">
      <c r="A114" s="140"/>
      <c r="B114" s="143"/>
      <c r="C114" s="28" t="s">
        <v>44</v>
      </c>
      <c r="D114" s="111"/>
      <c r="E114" s="15" t="str">
        <f>_xlfn.IFNA( VLOOKUP($D114, 'Goals Data'!$A$8:$B$11, 2, 0),"")</f>
        <v/>
      </c>
    </row>
  </sheetData>
  <mergeCells count="25">
    <mergeCell ref="A2:A4"/>
    <mergeCell ref="A5:A13"/>
    <mergeCell ref="B6:B7"/>
    <mergeCell ref="B9:B13"/>
    <mergeCell ref="A14:A38"/>
    <mergeCell ref="B14:B20"/>
    <mergeCell ref="B21:B22"/>
    <mergeCell ref="B24:B26"/>
    <mergeCell ref="B27:B28"/>
    <mergeCell ref="B29:B38"/>
    <mergeCell ref="A103:A114"/>
    <mergeCell ref="B103:B114"/>
    <mergeCell ref="B76:B79"/>
    <mergeCell ref="B80:B88"/>
    <mergeCell ref="A89:A102"/>
    <mergeCell ref="B89:B92"/>
    <mergeCell ref="B93:B95"/>
    <mergeCell ref="B96:B102"/>
    <mergeCell ref="A39:A88"/>
    <mergeCell ref="B39:B43"/>
    <mergeCell ref="B44:B48"/>
    <mergeCell ref="B49:B51"/>
    <mergeCell ref="B52:B56"/>
    <mergeCell ref="B57:B64"/>
    <mergeCell ref="B65:B75"/>
  </mergeCells>
  <conditionalFormatting sqref="D2:D114">
    <cfRule type="cellIs" dxfId="15" priority="1" operator="equal">
      <formula>"High"</formula>
    </cfRule>
    <cfRule type="cellIs" dxfId="14" priority="2" operator="equal">
      <formula>"Medium"</formula>
    </cfRule>
    <cfRule type="cellIs" dxfId="13" priority="3" operator="equal">
      <formula>"Low"</formula>
    </cfRule>
  </conditionalFormatting>
  <dataValidations count="1">
    <dataValidation type="list" allowBlank="1" showInputMessage="1" showErrorMessage="1" sqref="D2:D114" xr:uid="{0178BDCB-4516-4A45-8A53-48F1F0D868F7}">
      <formula1>"Low,Medium,High"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82E8-E204-1F4F-9EE9-AD4038FBC775}">
  <dimension ref="A2:H19"/>
  <sheetViews>
    <sheetView topLeftCell="A4" zoomScale="130" zoomScaleNormal="130" workbookViewId="0">
      <selection activeCell="B17" sqref="B17"/>
    </sheetView>
  </sheetViews>
  <sheetFormatPr defaultColWidth="10.796875" defaultRowHeight="15.6"/>
  <cols>
    <col min="1" max="1" width="25.69921875" style="8" customWidth="1"/>
    <col min="2" max="16384" width="10.796875" style="8"/>
  </cols>
  <sheetData>
    <row r="2" spans="1:8" ht="21">
      <c r="A2" s="137" t="s">
        <v>5</v>
      </c>
      <c r="B2" s="137"/>
    </row>
    <row r="3" spans="1:8">
      <c r="A3" s="9" t="s">
        <v>168</v>
      </c>
      <c r="B3" s="9">
        <v>130</v>
      </c>
    </row>
    <row r="4" spans="1:8">
      <c r="A4" s="9" t="s">
        <v>4</v>
      </c>
      <c r="B4" s="9">
        <f>COUNT('Study Hours Data'!$A$2:$A$33)</f>
        <v>32</v>
      </c>
      <c r="C4" s="71" t="s">
        <v>232</v>
      </c>
    </row>
    <row r="5" spans="1:8">
      <c r="A5" s="9" t="s">
        <v>169</v>
      </c>
      <c r="B5" s="54">
        <f>$B$3/$B$4</f>
        <v>4.0625</v>
      </c>
      <c r="C5" s="72" t="s">
        <v>233</v>
      </c>
    </row>
    <row r="8" spans="1:8">
      <c r="A8" s="17" t="s">
        <v>147</v>
      </c>
      <c r="B8" s="17" t="s">
        <v>138</v>
      </c>
    </row>
    <row r="9" spans="1:8">
      <c r="A9" s="9" t="s">
        <v>131</v>
      </c>
      <c r="B9" s="9">
        <v>25</v>
      </c>
      <c r="E9" s="192"/>
      <c r="H9" s="192"/>
    </row>
    <row r="10" spans="1:8">
      <c r="A10" s="9" t="s">
        <v>132</v>
      </c>
      <c r="B10" s="9">
        <v>50</v>
      </c>
    </row>
    <row r="11" spans="1:8">
      <c r="A11" s="9" t="s">
        <v>133</v>
      </c>
      <c r="B11" s="9">
        <v>100</v>
      </c>
    </row>
    <row r="14" spans="1:8">
      <c r="A14" s="17" t="s">
        <v>148</v>
      </c>
      <c r="B14" s="17" t="s">
        <v>138</v>
      </c>
    </row>
    <row r="15" spans="1:8">
      <c r="A15" s="18">
        <v>0</v>
      </c>
      <c r="B15" s="9" t="s">
        <v>194</v>
      </c>
    </row>
    <row r="16" spans="1:8">
      <c r="A16" s="18">
        <v>0.25</v>
      </c>
      <c r="B16" s="9" t="s">
        <v>135</v>
      </c>
    </row>
    <row r="17" spans="1:2">
      <c r="A17" s="18">
        <v>0.5</v>
      </c>
      <c r="B17" s="9" t="s">
        <v>134</v>
      </c>
    </row>
    <row r="18" spans="1:2">
      <c r="A18" s="18">
        <v>0.9</v>
      </c>
      <c r="B18" s="9" t="s">
        <v>146</v>
      </c>
    </row>
    <row r="19" spans="1:2">
      <c r="A19" s="18">
        <v>1</v>
      </c>
      <c r="B19" s="9" t="s">
        <v>136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D7E7-391D-F048-8CDD-2E38BFF33818}">
  <dimension ref="A1:L51"/>
  <sheetViews>
    <sheetView zoomScale="107" zoomScaleNormal="130" workbookViewId="0">
      <selection activeCell="B8" activeCellId="1" sqref="B6:C6 B8:C8"/>
    </sheetView>
  </sheetViews>
  <sheetFormatPr defaultColWidth="11.19921875" defaultRowHeight="15.6" outlineLevelRow="1"/>
  <cols>
    <col min="1" max="1" width="23" customWidth="1"/>
    <col min="2" max="2" width="59.296875" customWidth="1"/>
    <col min="3" max="3" width="26.5" style="8" customWidth="1"/>
    <col min="4" max="4" width="26.19921875" customWidth="1"/>
    <col min="5" max="5" width="12.296875" customWidth="1"/>
    <col min="6" max="6" width="11.69921875" customWidth="1"/>
    <col min="7" max="7" width="16.5" customWidth="1"/>
    <col min="8" max="8" width="11.5" customWidth="1"/>
  </cols>
  <sheetData>
    <row r="1" spans="1:12" ht="16.05" customHeight="1" thickBot="1">
      <c r="B1" s="7"/>
      <c r="C1" s="90"/>
      <c r="D1" s="7"/>
      <c r="E1" s="7"/>
      <c r="F1" s="7"/>
      <c r="G1" s="7"/>
      <c r="H1" s="7"/>
      <c r="I1" s="7"/>
      <c r="J1" s="7"/>
      <c r="K1" s="7"/>
      <c r="L1" s="7"/>
    </row>
    <row r="2" spans="1:12" ht="21.6" thickBot="1">
      <c r="A2" s="157" t="s">
        <v>140</v>
      </c>
      <c r="B2" s="158"/>
      <c r="C2" s="159"/>
      <c r="D2" s="5"/>
      <c r="E2" s="5"/>
      <c r="F2" s="5"/>
    </row>
    <row r="3" spans="1:12" ht="21">
      <c r="A3" s="164" t="s">
        <v>164</v>
      </c>
      <c r="B3" s="56" t="s">
        <v>166</v>
      </c>
      <c r="C3" s="112">
        <f>COUNT('Study Hours Data'!$A$2:$A$33)</f>
        <v>32</v>
      </c>
      <c r="D3" s="50" t="s">
        <v>203</v>
      </c>
      <c r="E3" s="5"/>
      <c r="F3" s="5"/>
      <c r="G3" s="172" t="s">
        <v>210</v>
      </c>
    </row>
    <row r="4" spans="1:12" ht="21">
      <c r="A4" s="165"/>
      <c r="B4" s="57" t="s">
        <v>165</v>
      </c>
      <c r="C4" s="113">
        <f>COUNT('Study Hours Data'!$B$2:$B$33)</f>
        <v>18</v>
      </c>
      <c r="D4" s="50" t="s">
        <v>204</v>
      </c>
      <c r="E4" s="5"/>
      <c r="F4" s="5"/>
      <c r="G4" s="173"/>
    </row>
    <row r="5" spans="1:12" ht="21.6" thickBot="1">
      <c r="A5" s="166"/>
      <c r="B5" s="58" t="s">
        <v>167</v>
      </c>
      <c r="C5" s="113">
        <f>$C$3-$C$4</f>
        <v>14</v>
      </c>
      <c r="D5" s="50" t="s">
        <v>205</v>
      </c>
      <c r="E5" s="5"/>
      <c r="F5" s="5"/>
      <c r="G5" s="174"/>
    </row>
    <row r="6" spans="1:12" ht="21">
      <c r="A6" s="164" t="s">
        <v>140</v>
      </c>
      <c r="B6" s="56" t="s">
        <v>141</v>
      </c>
      <c r="C6" s="114">
        <f>SUM('Study Hours Data'!$B$2:$B$33)</f>
        <v>50</v>
      </c>
      <c r="D6" s="51" t="s">
        <v>206</v>
      </c>
      <c r="I6" s="91"/>
    </row>
    <row r="7" spans="1:12" ht="21.6" thickBot="1">
      <c r="A7" s="167"/>
      <c r="B7" s="59" t="s">
        <v>142</v>
      </c>
      <c r="C7" s="115">
        <f>'Goals Data'!$B$5*$C$4</f>
        <v>73.125</v>
      </c>
      <c r="D7" s="52" t="s">
        <v>207</v>
      </c>
      <c r="H7" s="51"/>
    </row>
    <row r="8" spans="1:12" ht="21.6" thickBot="1">
      <c r="A8" s="166"/>
      <c r="B8" s="57" t="s">
        <v>139</v>
      </c>
      <c r="C8" s="116">
        <f>$C$7-$C$6</f>
        <v>23.125</v>
      </c>
      <c r="D8" s="50" t="s">
        <v>311</v>
      </c>
    </row>
    <row r="9" spans="1:12" ht="21" customHeight="1">
      <c r="A9" s="164" t="s">
        <v>144</v>
      </c>
      <c r="B9" s="56" t="s">
        <v>3</v>
      </c>
      <c r="C9" s="118">
        <f>$C$6/$C$4</f>
        <v>2.7777777777777777</v>
      </c>
      <c r="D9" s="50" t="s">
        <v>208</v>
      </c>
      <c r="H9" s="168" t="s">
        <v>209</v>
      </c>
      <c r="I9" s="169"/>
    </row>
    <row r="10" spans="1:12" ht="21.6" thickBot="1">
      <c r="A10" s="166"/>
      <c r="B10" s="59" t="s">
        <v>143</v>
      </c>
      <c r="C10" s="119">
        <f>('Goals Data'!$B$3 - $C$6)/$C$5</f>
        <v>5.7142857142857144</v>
      </c>
      <c r="D10" s="53" t="s">
        <v>312</v>
      </c>
      <c r="H10" s="170"/>
      <c r="I10" s="171"/>
    </row>
    <row r="11" spans="1:12" ht="21.6" thickBot="1">
      <c r="A11" s="64" t="s">
        <v>145</v>
      </c>
      <c r="B11" s="60" t="s">
        <v>229</v>
      </c>
      <c r="C11" s="117">
        <f>$C$9*$C$3</f>
        <v>88.888888888888886</v>
      </c>
      <c r="D11" s="49" t="s">
        <v>228</v>
      </c>
    </row>
    <row r="12" spans="1:12" ht="21.6" thickBot="1">
      <c r="A12" s="64" t="s">
        <v>150</v>
      </c>
      <c r="B12" s="163" t="str" cm="1">
        <f t="array" ref="B12">_xlfn.IFS($C$10 = 'Goals Data'!$B$5, "You are on track!", $C$10 &lt; 'Goals Data'!$B$5, "Well done! You are ahead of the target", $C$10 &gt; 'Goals Data'!$B$5, "You can do better!")</f>
        <v>You can do better!</v>
      </c>
      <c r="C12" s="163"/>
      <c r="D12" s="50" t="s">
        <v>211</v>
      </c>
      <c r="F12" s="50"/>
    </row>
    <row r="13" spans="1:12" ht="21.6" thickBot="1">
      <c r="A13" s="160" t="s">
        <v>151</v>
      </c>
      <c r="B13" s="161"/>
      <c r="C13" s="162"/>
      <c r="E13" s="121" t="s">
        <v>212</v>
      </c>
      <c r="F13" s="122"/>
      <c r="G13" s="123"/>
      <c r="H13" s="123"/>
      <c r="I13" s="124"/>
    </row>
    <row r="14" spans="1:12" ht="25.05" customHeight="1" thickBot="1">
      <c r="A14" s="58"/>
      <c r="B14" s="58"/>
      <c r="C14" s="92"/>
      <c r="E14" s="125"/>
      <c r="F14" s="126" t="s">
        <v>213</v>
      </c>
      <c r="G14" s="127"/>
      <c r="H14" s="127"/>
      <c r="I14" s="128"/>
    </row>
    <row r="15" spans="1:12" ht="28.05" customHeight="1" outlineLevel="1">
      <c r="A15" s="182" t="s">
        <v>2</v>
      </c>
      <c r="B15" s="61" t="s">
        <v>130</v>
      </c>
      <c r="C15" s="129">
        <f>COUNT('Excel Syllabus Data'!$E$2:$E$114) / COUNTA('Excel Syllabus Data'!$C$2:$C$114)</f>
        <v>0.21238938053097345</v>
      </c>
      <c r="D15" s="50" t="s">
        <v>214</v>
      </c>
      <c r="H15" s="6"/>
      <c r="I15" s="16"/>
    </row>
    <row r="16" spans="1:12" ht="28.05" customHeight="1" outlineLevel="1">
      <c r="A16" s="183"/>
      <c r="B16" s="62" t="s">
        <v>137</v>
      </c>
      <c r="C16" s="129">
        <f>SUM('Excel Syllabus Data'!$E$2:$E$114) / ( COUNTA('Excel Syllabus Data'!$D$2:$D$114)*100)</f>
        <v>0.6875</v>
      </c>
      <c r="D16" s="50" t="s">
        <v>215</v>
      </c>
    </row>
    <row r="17" spans="1:4" ht="28.05" customHeight="1" outlineLevel="1" thickBot="1">
      <c r="A17" s="184"/>
      <c r="B17" s="63" t="s">
        <v>148</v>
      </c>
      <c r="C17" s="193" t="str">
        <f>VLOOKUP($C$16, 'Goals Data'!$A$14:$B$19, 2, 1)</f>
        <v>Skilled</v>
      </c>
      <c r="D17" s="50" t="s">
        <v>216</v>
      </c>
    </row>
    <row r="18" spans="1:4" ht="28.05" customHeight="1" outlineLevel="1">
      <c r="C18"/>
      <c r="D18" s="120" t="s">
        <v>314</v>
      </c>
    </row>
    <row r="19" spans="1:4" ht="28.05" customHeight="1" outlineLevel="1">
      <c r="A19" s="55"/>
      <c r="B19" s="55"/>
      <c r="C19" s="90"/>
      <c r="D19" s="50"/>
    </row>
    <row r="20" spans="1:4" ht="28.05" customHeight="1" thickBot="1">
      <c r="A20" s="19"/>
      <c r="B20" s="20"/>
      <c r="C20" s="93"/>
    </row>
    <row r="21" spans="1:4" ht="28.05" customHeight="1" thickBot="1">
      <c r="A21" s="160" t="s">
        <v>170</v>
      </c>
      <c r="B21" s="161"/>
      <c r="C21" s="175"/>
    </row>
    <row r="22" spans="1:4" ht="28.05" customHeight="1" outlineLevel="1">
      <c r="A22" s="176" t="s">
        <v>12</v>
      </c>
      <c r="B22" s="67" t="s">
        <v>130</v>
      </c>
      <c r="C22" s="195">
        <f>COUNT('Excel Syllabus Data'!$E$5:$E$13)/ COUNTA('Excel Syllabus Data'!$C$5:$C$13)</f>
        <v>0.77777777777777779</v>
      </c>
      <c r="D22" s="50"/>
    </row>
    <row r="23" spans="1:4" ht="28.05" customHeight="1" outlineLevel="1">
      <c r="A23" s="177"/>
      <c r="B23" s="68" t="s">
        <v>137</v>
      </c>
      <c r="C23" s="196">
        <f>SUM('Excel Syllabus Data'!$E$5:$E$13) / (COUNTA('Excel Syllabus Data'!$C$5:$C$13)*100)</f>
        <v>0.61111111111111116</v>
      </c>
      <c r="D23" s="50"/>
    </row>
    <row r="24" spans="1:4" ht="28.05" customHeight="1" outlineLevel="1" thickBot="1">
      <c r="A24" s="178"/>
      <c r="B24" s="69" t="s">
        <v>148</v>
      </c>
      <c r="C24" s="194" t="str">
        <f>VLOOKUP($C$23, 'Goals Data'!$A$14:$B$19, 2, 1)</f>
        <v>Skilled</v>
      </c>
      <c r="D24" s="50"/>
    </row>
    <row r="25" spans="1:4" ht="28.05" customHeight="1" outlineLevel="1">
      <c r="A25" s="176" t="s">
        <v>25</v>
      </c>
      <c r="B25" s="61" t="s">
        <v>130</v>
      </c>
      <c r="C25" s="94"/>
    </row>
    <row r="26" spans="1:4" ht="28.05" customHeight="1" outlineLevel="1">
      <c r="A26" s="177"/>
      <c r="B26" s="62" t="s">
        <v>137</v>
      </c>
      <c r="C26" s="95"/>
      <c r="D26" s="42"/>
    </row>
    <row r="27" spans="1:4" ht="28.05" customHeight="1" outlineLevel="1" thickBot="1">
      <c r="A27" s="178"/>
      <c r="B27" s="63" t="s">
        <v>148</v>
      </c>
      <c r="C27" s="96"/>
      <c r="D27" s="42"/>
    </row>
    <row r="28" spans="1:4" ht="28.05" customHeight="1" outlineLevel="1">
      <c r="A28" s="176" t="s">
        <v>57</v>
      </c>
      <c r="B28" s="61" t="s">
        <v>130</v>
      </c>
      <c r="C28" s="97"/>
      <c r="D28" s="42"/>
    </row>
    <row r="29" spans="1:4" ht="28.05" customHeight="1" outlineLevel="1">
      <c r="A29" s="177"/>
      <c r="B29" s="62" t="s">
        <v>137</v>
      </c>
      <c r="C29" s="95"/>
      <c r="D29" s="42"/>
    </row>
    <row r="30" spans="1:4" ht="28.05" customHeight="1" outlineLevel="1" thickBot="1">
      <c r="A30" s="178"/>
      <c r="B30" s="63" t="s">
        <v>148</v>
      </c>
      <c r="C30" s="96"/>
      <c r="D30" s="42"/>
    </row>
    <row r="31" spans="1:4" ht="28.05" customHeight="1" outlineLevel="1">
      <c r="A31" s="179" t="s">
        <v>149</v>
      </c>
      <c r="B31" s="61" t="s">
        <v>130</v>
      </c>
      <c r="C31" s="97"/>
      <c r="D31" s="42"/>
    </row>
    <row r="32" spans="1:4" ht="28.05" customHeight="1" outlineLevel="1">
      <c r="A32" s="180"/>
      <c r="B32" s="62" t="s">
        <v>137</v>
      </c>
      <c r="C32" s="95"/>
      <c r="D32" s="42"/>
    </row>
    <row r="33" spans="1:4" ht="28.05" customHeight="1" outlineLevel="1" thickBot="1">
      <c r="A33" s="181"/>
      <c r="B33" s="63" t="s">
        <v>148</v>
      </c>
      <c r="C33" s="98"/>
    </row>
    <row r="35" spans="1:4" ht="21">
      <c r="A35" s="197" t="s">
        <v>163</v>
      </c>
      <c r="B35" s="197"/>
      <c r="C35" s="197"/>
      <c r="D35" s="197"/>
    </row>
    <row r="36" spans="1:4" ht="21" outlineLevel="1">
      <c r="A36" s="91" t="s">
        <v>160</v>
      </c>
      <c r="B36" s="91" t="s">
        <v>161</v>
      </c>
      <c r="C36" s="91" t="s">
        <v>162</v>
      </c>
      <c r="D36" s="91" t="s">
        <v>152</v>
      </c>
    </row>
    <row r="37" spans="1:4" ht="21" outlineLevel="1">
      <c r="A37" s="65" t="s">
        <v>153</v>
      </c>
      <c r="B37" s="57">
        <f>SUMIFS('Study Hours Data'!$B$2:$B$33, 'Study Hours Data'!$F$2:$F$33, A37)</f>
        <v>8</v>
      </c>
      <c r="C37" s="65">
        <f>COUNTIFS('Study Hours Data'!$F$1:$F$33,A37)</f>
        <v>3</v>
      </c>
      <c r="D37" s="66">
        <f>B37/C37</f>
        <v>2.6666666666666665</v>
      </c>
    </row>
    <row r="38" spans="1:4" ht="21" outlineLevel="1">
      <c r="A38" s="65" t="s">
        <v>154</v>
      </c>
      <c r="B38" s="57">
        <f>SUMIFS('Study Hours Data'!$B$2:$B$33, 'Study Hours Data'!$F$2:$F$33, A38)</f>
        <v>13</v>
      </c>
      <c r="C38" s="65">
        <f>COUNTIFS('Study Hours Data'!$F$1:$F$33,A38)</f>
        <v>3</v>
      </c>
      <c r="D38" s="66">
        <f t="shared" ref="D38:D43" si="0">B38/C38</f>
        <v>4.333333333333333</v>
      </c>
    </row>
    <row r="39" spans="1:4" ht="21" outlineLevel="1">
      <c r="A39" s="65" t="s">
        <v>155</v>
      </c>
      <c r="B39" s="57">
        <f>SUMIFS('Study Hours Data'!$B$2:$B$33, 'Study Hours Data'!$F$2:$F$33, A39)</f>
        <v>7</v>
      </c>
      <c r="C39" s="65">
        <f>COUNTIFS('Study Hours Data'!$F$1:$F$33,A39)</f>
        <v>3</v>
      </c>
      <c r="D39" s="66">
        <f t="shared" si="0"/>
        <v>2.3333333333333335</v>
      </c>
    </row>
    <row r="40" spans="1:4" ht="21" outlineLevel="1">
      <c r="A40" s="65" t="s">
        <v>156</v>
      </c>
      <c r="B40" s="57">
        <f>SUMIFS('Study Hours Data'!$B$2:$B$33, 'Study Hours Data'!$F$2:$F$33, A40)</f>
        <v>6</v>
      </c>
      <c r="C40" s="65">
        <f>COUNTIFS('Study Hours Data'!$F$1:$F$33,A40)</f>
        <v>3</v>
      </c>
      <c r="D40" s="66">
        <f t="shared" si="0"/>
        <v>2</v>
      </c>
    </row>
    <row r="41" spans="1:4" ht="21" outlineLevel="1">
      <c r="A41" s="65" t="s">
        <v>157</v>
      </c>
      <c r="B41" s="57">
        <f>SUMIFS('Study Hours Data'!$B$2:$B$33, 'Study Hours Data'!$F$2:$F$33, A41)</f>
        <v>3</v>
      </c>
      <c r="C41" s="65">
        <f>COUNTIFS('Study Hours Data'!$F$1:$F$33,A41)</f>
        <v>2</v>
      </c>
      <c r="D41" s="66">
        <f t="shared" si="0"/>
        <v>1.5</v>
      </c>
    </row>
    <row r="42" spans="1:4" ht="21" outlineLevel="1">
      <c r="A42" s="65" t="s">
        <v>158</v>
      </c>
      <c r="B42" s="57">
        <f>SUMIFS('Study Hours Data'!$B$2:$B$33, 'Study Hours Data'!$F$2:$F$33, A42)</f>
        <v>8</v>
      </c>
      <c r="C42" s="65">
        <f>COUNTIFS('Study Hours Data'!$F$1:$F$33,A42)</f>
        <v>2</v>
      </c>
      <c r="D42" s="66">
        <f t="shared" si="0"/>
        <v>4</v>
      </c>
    </row>
    <row r="43" spans="1:4" ht="21" outlineLevel="1">
      <c r="A43" s="65" t="s">
        <v>159</v>
      </c>
      <c r="B43" s="57">
        <f>SUMIFS('Study Hours Data'!$B$2:$B$33, 'Study Hours Data'!$F$2:$F$33, A43)</f>
        <v>5</v>
      </c>
      <c r="C43" s="65">
        <f>COUNTIFS('Study Hours Data'!$F$1:$F$33,A43)</f>
        <v>2</v>
      </c>
      <c r="D43" s="66">
        <f t="shared" si="0"/>
        <v>2.5</v>
      </c>
    </row>
    <row r="45" spans="1:4" ht="18">
      <c r="B45" s="155" t="s">
        <v>217</v>
      </c>
      <c r="C45" s="156" t="s">
        <v>218</v>
      </c>
      <c r="D45" s="50" t="s">
        <v>219</v>
      </c>
    </row>
    <row r="46" spans="1:4" ht="18">
      <c r="B46" s="155"/>
      <c r="C46" s="156"/>
      <c r="D46" s="11" t="s">
        <v>220</v>
      </c>
    </row>
    <row r="51" ht="19.05" customHeight="1"/>
  </sheetData>
  <mergeCells count="17">
    <mergeCell ref="H9:I10"/>
    <mergeCell ref="G3:G5"/>
    <mergeCell ref="A35:D35"/>
    <mergeCell ref="A21:C21"/>
    <mergeCell ref="A22:A24"/>
    <mergeCell ref="A25:A27"/>
    <mergeCell ref="A28:A30"/>
    <mergeCell ref="A31:A33"/>
    <mergeCell ref="A15:A17"/>
    <mergeCell ref="B45:B46"/>
    <mergeCell ref="C45:C46"/>
    <mergeCell ref="A2:C2"/>
    <mergeCell ref="A13:C13"/>
    <mergeCell ref="B12:C12"/>
    <mergeCell ref="A3:A5"/>
    <mergeCell ref="A9:A10"/>
    <mergeCell ref="A6:A8"/>
  </mergeCells>
  <conditionalFormatting sqref="C19:C20">
    <cfRule type="containsText" dxfId="12" priority="36" stopIfTrue="1" operator="containsText" text="Legendary">
      <formula>NOT(ISERROR(SEARCH("Legendary",C19)))</formula>
    </cfRule>
    <cfRule type="containsText" dxfId="11" priority="37" stopIfTrue="1" operator="containsText" text="Professional">
      <formula>NOT(ISERROR(SEARCH("Professional",C19)))</formula>
    </cfRule>
    <cfRule type="containsText" dxfId="10" priority="38" stopIfTrue="1" operator="containsText" text="Rookie">
      <formula>NOT(ISERROR(SEARCH("Rookie",C19)))</formula>
    </cfRule>
    <cfRule type="containsText" dxfId="9" priority="39" stopIfTrue="1" operator="containsText" text="Uninitiated">
      <formula>NOT(ISERROR(SEARCH("Uninitiated",C19)))</formula>
    </cfRule>
    <cfRule type="containsText" dxfId="8" priority="40" stopIfTrue="1" operator="containsText" text="Skilled">
      <formula>NOT(ISERROR(SEARCH("Skilled",C19)))</formula>
    </cfRule>
  </conditionalFormatting>
  <conditionalFormatting sqref="D6 H7">
    <cfRule type="dataBar" priority="47">
      <dataBar>
        <cfvo type="percent" val="0"/>
        <cfvo type="percent" val="100"/>
        <color theme="9"/>
      </dataBar>
      <extLst>
        <ext xmlns:x14="http://schemas.microsoft.com/office/spreadsheetml/2009/9/main" uri="{B025F937-C7B1-47D3-B67F-A62EFF666E3E}">
          <x14:id>{CEE40D22-DF83-FD4E-8120-DFA7460519D4}</x14:id>
        </ext>
      </extLst>
    </cfRule>
  </conditionalFormatting>
  <conditionalFormatting sqref="D11">
    <cfRule type="dataBar" priority="46">
      <dataBar>
        <cfvo type="percent" val="0"/>
        <cfvo type="percent" val="100"/>
        <color theme="9"/>
      </dataBar>
      <extLst>
        <ext xmlns:x14="http://schemas.microsoft.com/office/spreadsheetml/2009/9/main" uri="{B025F937-C7B1-47D3-B67F-A62EFF666E3E}">
          <x14:id>{E687BE36-FD5C-C34C-B116-162BFCD7121A}</x14:id>
        </ext>
      </extLst>
    </cfRule>
  </conditionalFormatting>
  <conditionalFormatting sqref="B12:C12">
    <cfRule type="containsText" dxfId="7" priority="8" operator="containsText" text="track">
      <formula>NOT(ISERROR(SEARCH("track",B12)))</formula>
    </cfRule>
    <cfRule type="containsText" dxfId="6" priority="9" operator="containsText" text="target">
      <formula>NOT(ISERROR(SEARCH("target",B12)))</formula>
    </cfRule>
    <cfRule type="containsText" dxfId="5" priority="10" operator="containsText" text="better">
      <formula>NOT(ISERROR(SEARCH("better",B12)))</formula>
    </cfRule>
  </conditionalFormatting>
  <conditionalFormatting sqref="C15:C16">
    <cfRule type="dataBar" priority="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{E45E6D50-E179-47F1-8F19-706FAE019B39}</x14:id>
        </ext>
      </extLst>
    </cfRule>
  </conditionalFormatting>
  <conditionalFormatting sqref="C17">
    <cfRule type="cellIs" dxfId="4" priority="2" operator="equal">
      <formula>"Legendary"</formula>
    </cfRule>
    <cfRule type="cellIs" dxfId="3" priority="3" operator="equal">
      <formula>"Professional"</formula>
    </cfRule>
    <cfRule type="cellIs" dxfId="2" priority="4" operator="equal">
      <formula>"Skilled"</formula>
    </cfRule>
    <cfRule type="cellIs" dxfId="1" priority="5" operator="equal">
      <formula>"Rookie"</formula>
    </cfRule>
    <cfRule type="cellIs" dxfId="0" priority="6" operator="equal">
      <formula>"Uninitiated"</formula>
    </cfRule>
  </conditionalFormatting>
  <conditionalFormatting sqref="C22:C23">
    <cfRule type="dataBar" priority="1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{37CEFF63-13C9-4517-8E7D-5C982E880599}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E40D22-DF83-FD4E-8120-DFA7460519D4}">
            <x14:dataBar minLength="0" maxLength="100" border="1" gradient="0" direction="leftToRight">
              <x14:cfvo type="percent">
                <xm:f>0</xm:f>
              </x14:cfvo>
              <x14:cfvo type="percent">
                <xm:f>100</xm:f>
              </x14:cfvo>
              <x14:borderColor theme="9"/>
              <x14:negativeFillColor rgb="FFFF0000"/>
              <x14:axisColor rgb="FF000000"/>
            </x14:dataBar>
          </x14:cfRule>
          <xm:sqref>D6 H7</xm:sqref>
        </x14:conditionalFormatting>
        <x14:conditionalFormatting xmlns:xm="http://schemas.microsoft.com/office/excel/2006/main">
          <x14:cfRule type="dataBar" id="{E687BE36-FD5C-C34C-B116-162BFCD7121A}">
            <x14:dataBar minLength="0" maxLength="100" border="1" gradient="0">
              <x14:cfvo type="percent">
                <xm:f>0</xm:f>
              </x14:cfvo>
              <x14:cfvo type="percent">
                <xm:f>100</xm:f>
              </x14:cfvo>
              <x14:borderColor theme="9"/>
              <x14:negativeFillColor rgb="FFFF0000"/>
              <x14:axisColor rgb="FF000000"/>
            </x14:dataBar>
          </x14:cfRule>
          <xm:sqref>D11</xm:sqref>
        </x14:conditionalFormatting>
        <x14:conditionalFormatting xmlns:xm="http://schemas.microsoft.com/office/excel/2006/main">
          <x14:cfRule type="dataBar" id="{E45E6D50-E179-47F1-8F19-706FAE019B3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C15:C16</xm:sqref>
        </x14:conditionalFormatting>
        <x14:conditionalFormatting xmlns:xm="http://schemas.microsoft.com/office/excel/2006/main">
          <x14:cfRule type="dataBar" id="{37CEFF63-13C9-4517-8E7D-5C982E88059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C22:C23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5307-B5BE-C549-97C7-715D5077ECD9}">
  <dimension ref="A1:P81"/>
  <sheetViews>
    <sheetView topLeftCell="A14" zoomScale="120" zoomScaleNormal="120" workbookViewId="0">
      <selection activeCell="F22" sqref="F22"/>
    </sheetView>
  </sheetViews>
  <sheetFormatPr defaultColWidth="10.796875" defaultRowHeight="15.6"/>
  <cols>
    <col min="1" max="1" width="14.796875" style="14" customWidth="1"/>
    <col min="2" max="3" width="17.19921875" style="4" customWidth="1"/>
    <col min="4" max="4" width="10" style="4" customWidth="1"/>
    <col min="5" max="5" width="14.296875" style="4" customWidth="1"/>
    <col min="6" max="6" width="17.69921875" style="4" customWidth="1"/>
    <col min="7" max="11" width="10.796875" style="4"/>
    <col min="12" max="12" width="15.296875" style="4" customWidth="1"/>
    <col min="13" max="13" width="12.796875" style="4" customWidth="1"/>
    <col min="14" max="14" width="10.796875" style="4"/>
    <col min="15" max="15" width="22.796875" style="4" customWidth="1"/>
    <col min="16" max="16384" width="10.796875" style="4"/>
  </cols>
  <sheetData>
    <row r="1" spans="1:16">
      <c r="A1" s="43" t="s">
        <v>0</v>
      </c>
      <c r="B1" s="43" t="s">
        <v>195</v>
      </c>
      <c r="C1" s="43" t="s">
        <v>196</v>
      </c>
      <c r="D1" s="44" t="s">
        <v>225</v>
      </c>
      <c r="E1" s="43" t="s">
        <v>197</v>
      </c>
      <c r="F1" s="43" t="s">
        <v>198</v>
      </c>
      <c r="O1" s="41"/>
      <c r="P1" s="41"/>
    </row>
    <row r="2" spans="1:16">
      <c r="A2" s="45">
        <v>45558</v>
      </c>
      <c r="B2" s="10">
        <v>5</v>
      </c>
      <c r="C2" s="10">
        <v>5</v>
      </c>
      <c r="D2" s="10">
        <f>'Goals Data'!$B$3</f>
        <v>130</v>
      </c>
      <c r="E2" s="12">
        <f>WEEKDAY(A2)</f>
        <v>2</v>
      </c>
      <c r="F2" s="12" t="str">
        <f>IF(C2 = 0, "", TEXT(A2, "dddd"))</f>
        <v>Monday</v>
      </c>
      <c r="H2" s="108" t="s">
        <v>230</v>
      </c>
      <c r="O2" s="14"/>
    </row>
    <row r="3" spans="1:16">
      <c r="A3" s="45">
        <v>45559</v>
      </c>
      <c r="B3" s="10">
        <v>6</v>
      </c>
      <c r="C3" s="10">
        <f>IF( ISBLANK($B3),0, B3+C2)</f>
        <v>11</v>
      </c>
      <c r="D3" s="10">
        <f>'Goals Data'!$B$3</f>
        <v>130</v>
      </c>
      <c r="E3" s="12">
        <f t="shared" ref="E3:E33" si="0">WEEKDAY(A3)</f>
        <v>3</v>
      </c>
      <c r="F3" s="12" t="str">
        <f>IF(C3 = 0, "", TEXT(A3, "dddd"))</f>
        <v>Tuesday</v>
      </c>
      <c r="I3" s="70" t="s">
        <v>231</v>
      </c>
      <c r="O3" s="14"/>
    </row>
    <row r="4" spans="1:16">
      <c r="A4" s="45">
        <v>45560</v>
      </c>
      <c r="B4" s="10">
        <v>0</v>
      </c>
      <c r="C4" s="10">
        <f t="shared" ref="C4:C33" si="1">IF( ISBLANK($B4),0, B4+C3)</f>
        <v>11</v>
      </c>
      <c r="D4" s="10">
        <f>'Goals Data'!$B$3</f>
        <v>130</v>
      </c>
      <c r="E4" s="12">
        <f t="shared" si="0"/>
        <v>4</v>
      </c>
      <c r="F4" s="12" t="str">
        <f t="shared" ref="F4:F33" si="2">IF(C4 = 0, "", TEXT(A4, "dddd"))</f>
        <v>Wednesday</v>
      </c>
      <c r="O4" s="14"/>
    </row>
    <row r="5" spans="1:16">
      <c r="A5" s="45">
        <v>45561</v>
      </c>
      <c r="B5" s="10">
        <v>1</v>
      </c>
      <c r="C5" s="10">
        <f t="shared" si="1"/>
        <v>12</v>
      </c>
      <c r="D5" s="10">
        <f>'Goals Data'!$B$3</f>
        <v>130</v>
      </c>
      <c r="E5" s="12">
        <f t="shared" si="0"/>
        <v>5</v>
      </c>
      <c r="F5" s="12" t="str">
        <f t="shared" si="2"/>
        <v>Thursday</v>
      </c>
      <c r="O5" s="14"/>
    </row>
    <row r="6" spans="1:16">
      <c r="A6" s="45">
        <v>45562</v>
      </c>
      <c r="B6" s="10">
        <v>2</v>
      </c>
      <c r="C6" s="10">
        <f t="shared" si="1"/>
        <v>14</v>
      </c>
      <c r="D6" s="10">
        <f>'Goals Data'!$B$3</f>
        <v>130</v>
      </c>
      <c r="E6" s="12">
        <f t="shared" si="0"/>
        <v>6</v>
      </c>
      <c r="F6" s="12" t="str">
        <f t="shared" si="2"/>
        <v>Friday</v>
      </c>
      <c r="O6" s="14"/>
    </row>
    <row r="7" spans="1:16">
      <c r="A7" s="45">
        <v>45563</v>
      </c>
      <c r="B7" s="10">
        <v>8</v>
      </c>
      <c r="C7" s="10">
        <f t="shared" si="1"/>
        <v>22</v>
      </c>
      <c r="D7" s="10">
        <f>'Goals Data'!$B$3</f>
        <v>130</v>
      </c>
      <c r="E7" s="12">
        <f t="shared" si="0"/>
        <v>7</v>
      </c>
      <c r="F7" s="12" t="str">
        <f t="shared" si="2"/>
        <v>Saturday</v>
      </c>
      <c r="O7" s="14"/>
    </row>
    <row r="8" spans="1:16">
      <c r="A8" s="45">
        <v>45564</v>
      </c>
      <c r="B8" s="10">
        <v>5</v>
      </c>
      <c r="C8" s="10">
        <f t="shared" si="1"/>
        <v>27</v>
      </c>
      <c r="D8" s="10">
        <f>'Goals Data'!$B$3</f>
        <v>130</v>
      </c>
      <c r="E8" s="12">
        <f t="shared" si="0"/>
        <v>1</v>
      </c>
      <c r="F8" s="12" t="str">
        <f t="shared" si="2"/>
        <v>Sunday</v>
      </c>
      <c r="O8" s="14"/>
    </row>
    <row r="9" spans="1:16">
      <c r="A9" s="45">
        <v>45565</v>
      </c>
      <c r="B9" s="10">
        <v>3</v>
      </c>
      <c r="C9" s="10">
        <f t="shared" si="1"/>
        <v>30</v>
      </c>
      <c r="D9" s="10">
        <f>'Goals Data'!$B$3</f>
        <v>130</v>
      </c>
      <c r="E9" s="12">
        <f t="shared" si="0"/>
        <v>2</v>
      </c>
      <c r="F9" s="12" t="str">
        <f t="shared" si="2"/>
        <v>Monday</v>
      </c>
    </row>
    <row r="10" spans="1:16">
      <c r="A10" s="45">
        <v>45566</v>
      </c>
      <c r="B10" s="10">
        <v>2</v>
      </c>
      <c r="C10" s="10">
        <f t="shared" si="1"/>
        <v>32</v>
      </c>
      <c r="D10" s="10">
        <f>'Goals Data'!$B$3</f>
        <v>130</v>
      </c>
      <c r="E10" s="12">
        <f t="shared" si="0"/>
        <v>3</v>
      </c>
      <c r="F10" s="12" t="str">
        <f t="shared" si="2"/>
        <v>Tuesday</v>
      </c>
    </row>
    <row r="11" spans="1:16">
      <c r="A11" s="45">
        <v>45567</v>
      </c>
      <c r="B11" s="10">
        <v>1</v>
      </c>
      <c r="C11" s="10">
        <f t="shared" si="1"/>
        <v>33</v>
      </c>
      <c r="D11" s="10">
        <f>'Goals Data'!$B$3</f>
        <v>130</v>
      </c>
      <c r="E11" s="12">
        <f t="shared" si="0"/>
        <v>4</v>
      </c>
      <c r="F11" s="12" t="str">
        <f t="shared" si="2"/>
        <v>Wednesday</v>
      </c>
    </row>
    <row r="12" spans="1:16">
      <c r="A12" s="45">
        <v>45568</v>
      </c>
      <c r="B12" s="10">
        <v>1</v>
      </c>
      <c r="C12" s="10">
        <f t="shared" si="1"/>
        <v>34</v>
      </c>
      <c r="D12" s="10">
        <f>'Goals Data'!$B$3</f>
        <v>130</v>
      </c>
      <c r="E12" s="12">
        <f t="shared" si="0"/>
        <v>5</v>
      </c>
      <c r="F12" s="12" t="str">
        <f t="shared" si="2"/>
        <v>Thursday</v>
      </c>
    </row>
    <row r="13" spans="1:16">
      <c r="A13" s="45">
        <v>45569</v>
      </c>
      <c r="B13" s="10">
        <v>1</v>
      </c>
      <c r="C13" s="10">
        <f t="shared" si="1"/>
        <v>35</v>
      </c>
      <c r="D13" s="10">
        <f>'Goals Data'!$B$3</f>
        <v>130</v>
      </c>
      <c r="E13" s="12">
        <f t="shared" si="0"/>
        <v>6</v>
      </c>
      <c r="F13" s="12" t="str">
        <f t="shared" si="2"/>
        <v>Friday</v>
      </c>
    </row>
    <row r="14" spans="1:16">
      <c r="A14" s="45">
        <v>45570</v>
      </c>
      <c r="B14" s="10">
        <v>0</v>
      </c>
      <c r="C14" s="10">
        <f t="shared" si="1"/>
        <v>35</v>
      </c>
      <c r="D14" s="10">
        <f>'Goals Data'!$B$3</f>
        <v>130</v>
      </c>
      <c r="E14" s="12">
        <f t="shared" si="0"/>
        <v>7</v>
      </c>
      <c r="F14" s="12" t="str">
        <f t="shared" si="2"/>
        <v>Saturday</v>
      </c>
      <c r="O14" s="21"/>
    </row>
    <row r="15" spans="1:16">
      <c r="A15" s="45">
        <v>45571</v>
      </c>
      <c r="B15" s="10">
        <v>0</v>
      </c>
      <c r="C15" s="10">
        <f t="shared" si="1"/>
        <v>35</v>
      </c>
      <c r="D15" s="10">
        <f>'Goals Data'!$B$3</f>
        <v>130</v>
      </c>
      <c r="E15" s="12">
        <f t="shared" si="0"/>
        <v>1</v>
      </c>
      <c r="F15" s="12" t="str">
        <f t="shared" si="2"/>
        <v>Sunday</v>
      </c>
    </row>
    <row r="16" spans="1:16">
      <c r="A16" s="45">
        <v>45572</v>
      </c>
      <c r="B16" s="10">
        <v>0</v>
      </c>
      <c r="C16" s="10">
        <f t="shared" si="1"/>
        <v>35</v>
      </c>
      <c r="D16" s="10">
        <f>'Goals Data'!$B$3</f>
        <v>130</v>
      </c>
      <c r="E16" s="12">
        <f t="shared" si="0"/>
        <v>2</v>
      </c>
      <c r="F16" s="12" t="str">
        <f t="shared" si="2"/>
        <v>Monday</v>
      </c>
      <c r="O16" s="22"/>
    </row>
    <row r="17" spans="1:6">
      <c r="A17" s="45">
        <v>45573</v>
      </c>
      <c r="B17" s="10">
        <v>5</v>
      </c>
      <c r="C17" s="10">
        <f t="shared" si="1"/>
        <v>40</v>
      </c>
      <c r="D17" s="10">
        <f>'Goals Data'!$B$3</f>
        <v>130</v>
      </c>
      <c r="E17" s="12">
        <f t="shared" si="0"/>
        <v>3</v>
      </c>
      <c r="F17" s="12" t="str">
        <f t="shared" si="2"/>
        <v>Tuesday</v>
      </c>
    </row>
    <row r="18" spans="1:6">
      <c r="A18" s="45">
        <v>45574</v>
      </c>
      <c r="B18" s="10">
        <v>6</v>
      </c>
      <c r="C18" s="10">
        <f t="shared" si="1"/>
        <v>46</v>
      </c>
      <c r="D18" s="10">
        <f>'Goals Data'!$B$3</f>
        <v>130</v>
      </c>
      <c r="E18" s="12">
        <f t="shared" si="0"/>
        <v>4</v>
      </c>
      <c r="F18" s="12" t="str">
        <f t="shared" si="2"/>
        <v>Wednesday</v>
      </c>
    </row>
    <row r="19" spans="1:6">
      <c r="A19" s="45">
        <v>45575</v>
      </c>
      <c r="B19" s="10">
        <v>4</v>
      </c>
      <c r="C19" s="10">
        <f t="shared" si="1"/>
        <v>50</v>
      </c>
      <c r="D19" s="10">
        <f>'Goals Data'!$B$3</f>
        <v>130</v>
      </c>
      <c r="E19" s="12">
        <f t="shared" si="0"/>
        <v>5</v>
      </c>
      <c r="F19" s="12" t="str">
        <f t="shared" si="2"/>
        <v>Thursday</v>
      </c>
    </row>
    <row r="20" spans="1:6">
      <c r="A20" s="45">
        <v>45576</v>
      </c>
      <c r="B20" s="10"/>
      <c r="C20" s="10"/>
      <c r="D20" s="10">
        <f>'Goals Data'!$B$3</f>
        <v>130</v>
      </c>
      <c r="E20" s="12">
        <f t="shared" si="0"/>
        <v>6</v>
      </c>
      <c r="F20" s="12" t="str">
        <f t="shared" si="2"/>
        <v/>
      </c>
    </row>
    <row r="21" spans="1:6">
      <c r="A21" s="45">
        <v>45577</v>
      </c>
      <c r="B21" s="10"/>
      <c r="C21" s="10"/>
      <c r="D21" s="10">
        <f>'Goals Data'!$B$3</f>
        <v>130</v>
      </c>
      <c r="E21" s="12">
        <f t="shared" si="0"/>
        <v>7</v>
      </c>
      <c r="F21" s="12" t="str">
        <f t="shared" si="2"/>
        <v/>
      </c>
    </row>
    <row r="22" spans="1:6">
      <c r="A22" s="45">
        <v>45578</v>
      </c>
      <c r="B22" s="10"/>
      <c r="C22" s="10"/>
      <c r="D22" s="10">
        <f>'Goals Data'!$B$3</f>
        <v>130</v>
      </c>
      <c r="E22" s="12">
        <f t="shared" si="0"/>
        <v>1</v>
      </c>
      <c r="F22" s="12" t="str">
        <f t="shared" si="2"/>
        <v/>
      </c>
    </row>
    <row r="23" spans="1:6">
      <c r="A23" s="45">
        <v>45579</v>
      </c>
      <c r="B23" s="10"/>
      <c r="C23" s="10"/>
      <c r="D23" s="10">
        <f>'Goals Data'!$B$3</f>
        <v>130</v>
      </c>
      <c r="E23" s="12">
        <f t="shared" si="0"/>
        <v>2</v>
      </c>
      <c r="F23" s="12" t="str">
        <f t="shared" si="2"/>
        <v/>
      </c>
    </row>
    <row r="24" spans="1:6">
      <c r="A24" s="45">
        <v>45580</v>
      </c>
      <c r="B24" s="10"/>
      <c r="C24" s="10"/>
      <c r="D24" s="10">
        <f>'Goals Data'!$B$3</f>
        <v>130</v>
      </c>
      <c r="E24" s="12">
        <f t="shared" si="0"/>
        <v>3</v>
      </c>
      <c r="F24" s="12" t="str">
        <f t="shared" si="2"/>
        <v/>
      </c>
    </row>
    <row r="25" spans="1:6">
      <c r="A25" s="45">
        <v>45581</v>
      </c>
      <c r="B25" s="10"/>
      <c r="C25" s="10"/>
      <c r="D25" s="10">
        <f>'Goals Data'!$B$3</f>
        <v>130</v>
      </c>
      <c r="E25" s="12">
        <f t="shared" si="0"/>
        <v>4</v>
      </c>
      <c r="F25" s="12" t="str">
        <f t="shared" si="2"/>
        <v/>
      </c>
    </row>
    <row r="26" spans="1:6">
      <c r="A26" s="45">
        <v>45582</v>
      </c>
      <c r="B26" s="10"/>
      <c r="C26" s="10"/>
      <c r="D26" s="10">
        <f>'Goals Data'!$B$3</f>
        <v>130</v>
      </c>
      <c r="E26" s="12">
        <f t="shared" si="0"/>
        <v>5</v>
      </c>
      <c r="F26" s="12" t="str">
        <f t="shared" si="2"/>
        <v/>
      </c>
    </row>
    <row r="27" spans="1:6">
      <c r="A27" s="45">
        <v>45583</v>
      </c>
      <c r="B27" s="10"/>
      <c r="C27" s="10"/>
      <c r="D27" s="10">
        <f>'Goals Data'!$B$3</f>
        <v>130</v>
      </c>
      <c r="E27" s="12">
        <f t="shared" si="0"/>
        <v>6</v>
      </c>
      <c r="F27" s="12" t="str">
        <f t="shared" si="2"/>
        <v/>
      </c>
    </row>
    <row r="28" spans="1:6">
      <c r="A28" s="45">
        <v>45584</v>
      </c>
      <c r="B28" s="10"/>
      <c r="C28" s="10"/>
      <c r="D28" s="10">
        <f>'Goals Data'!$B$3</f>
        <v>130</v>
      </c>
      <c r="E28" s="12">
        <f t="shared" si="0"/>
        <v>7</v>
      </c>
      <c r="F28" s="12" t="str">
        <f t="shared" si="2"/>
        <v/>
      </c>
    </row>
    <row r="29" spans="1:6">
      <c r="A29" s="45">
        <v>45585</v>
      </c>
      <c r="B29" s="10"/>
      <c r="C29" s="10"/>
      <c r="D29" s="10">
        <f>'Goals Data'!$B$3</f>
        <v>130</v>
      </c>
      <c r="E29" s="12">
        <f t="shared" si="0"/>
        <v>1</v>
      </c>
      <c r="F29" s="12" t="str">
        <f t="shared" si="2"/>
        <v/>
      </c>
    </row>
    <row r="30" spans="1:6">
      <c r="A30" s="45">
        <v>45586</v>
      </c>
      <c r="B30" s="10"/>
      <c r="C30" s="10"/>
      <c r="D30" s="10">
        <f>'Goals Data'!$B$3</f>
        <v>130</v>
      </c>
      <c r="E30" s="12">
        <f t="shared" si="0"/>
        <v>2</v>
      </c>
      <c r="F30" s="12" t="str">
        <f t="shared" si="2"/>
        <v/>
      </c>
    </row>
    <row r="31" spans="1:6">
      <c r="A31" s="45">
        <v>45587</v>
      </c>
      <c r="B31" s="10"/>
      <c r="C31" s="10"/>
      <c r="D31" s="10">
        <f>'Goals Data'!$B$3</f>
        <v>130</v>
      </c>
      <c r="E31" s="12">
        <f t="shared" si="0"/>
        <v>3</v>
      </c>
      <c r="F31" s="12" t="str">
        <f t="shared" si="2"/>
        <v/>
      </c>
    </row>
    <row r="32" spans="1:6">
      <c r="A32" s="45">
        <v>45588</v>
      </c>
      <c r="B32" s="10"/>
      <c r="C32" s="10"/>
      <c r="D32" s="10">
        <f>'Goals Data'!$B$3</f>
        <v>130</v>
      </c>
      <c r="E32" s="12">
        <f t="shared" si="0"/>
        <v>4</v>
      </c>
      <c r="F32" s="12" t="str">
        <f t="shared" si="2"/>
        <v/>
      </c>
    </row>
    <row r="33" spans="1:6">
      <c r="A33" s="45">
        <v>45589</v>
      </c>
      <c r="B33" s="10"/>
      <c r="C33" s="10"/>
      <c r="D33" s="10">
        <f>'Goals Data'!$B$3</f>
        <v>130</v>
      </c>
      <c r="E33" s="12">
        <f t="shared" si="0"/>
        <v>5</v>
      </c>
      <c r="F33" s="12" t="str">
        <f t="shared" si="2"/>
        <v/>
      </c>
    </row>
    <row r="81" spans="15:15">
      <c r="O81" s="4">
        <v>3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554E-4398-2A41-B3B0-06CB4C9E6351}">
  <dimension ref="A2:N15"/>
  <sheetViews>
    <sheetView showGridLines="0" tabSelected="1" topLeftCell="A7" zoomScale="69" zoomScaleNormal="110" workbookViewId="0">
      <selection activeCell="O39" sqref="O39"/>
    </sheetView>
  </sheetViews>
  <sheetFormatPr defaultColWidth="11.19921875" defaultRowHeight="15.6"/>
  <sheetData>
    <row r="2" spans="1:14" ht="23.4">
      <c r="B2" s="198" t="s">
        <v>221</v>
      </c>
    </row>
    <row r="4" spans="1:14" ht="23.4">
      <c r="C4" s="186" t="s">
        <v>222</v>
      </c>
      <c r="D4" s="58"/>
      <c r="E4" s="11"/>
      <c r="F4" s="11"/>
      <c r="G4" s="11"/>
      <c r="I4" s="199" t="s">
        <v>321</v>
      </c>
    </row>
    <row r="5" spans="1:14" ht="21">
      <c r="C5" s="58"/>
      <c r="D5" s="58" t="s">
        <v>223</v>
      </c>
      <c r="E5" s="11"/>
      <c r="F5" s="11"/>
      <c r="G5" s="11"/>
    </row>
    <row r="6" spans="1:14" ht="21">
      <c r="C6" s="58"/>
      <c r="D6" s="58" t="s">
        <v>224</v>
      </c>
      <c r="E6" s="11"/>
      <c r="F6" s="11"/>
      <c r="G6" s="11"/>
    </row>
    <row r="7" spans="1:14" ht="21">
      <c r="C7" s="58"/>
      <c r="D7" s="58"/>
      <c r="E7" s="11"/>
      <c r="F7" s="11"/>
      <c r="G7" s="11"/>
    </row>
    <row r="8" spans="1:14" ht="19.05" customHeight="1">
      <c r="A8" s="11"/>
      <c r="B8" s="11"/>
      <c r="C8" s="186" t="s">
        <v>226</v>
      </c>
      <c r="D8" s="58"/>
      <c r="E8" s="11"/>
      <c r="F8" s="11"/>
      <c r="G8" s="11"/>
    </row>
    <row r="9" spans="1:14" ht="16.05" customHeight="1">
      <c r="A9" s="11"/>
      <c r="B9" s="11"/>
      <c r="C9" s="186" t="s">
        <v>227</v>
      </c>
      <c r="D9" s="58"/>
      <c r="E9" s="11"/>
      <c r="F9" s="11"/>
      <c r="G9" s="11"/>
    </row>
    <row r="10" spans="1:14" ht="19.05" customHeight="1">
      <c r="A10" s="11"/>
      <c r="B10" s="11"/>
    </row>
    <row r="11" spans="1:14" ht="19.05" customHeight="1">
      <c r="A11" s="11"/>
      <c r="B11" s="11"/>
    </row>
    <row r="13" spans="1:14" ht="16.2" thickBot="1">
      <c r="H13" s="185"/>
      <c r="I13" s="185"/>
      <c r="J13" s="185"/>
    </row>
    <row r="14" spans="1:14">
      <c r="I14" s="200">
        <f>'Progress Summary'!$C$9</f>
        <v>2.7777777777777777</v>
      </c>
      <c r="J14" s="201"/>
      <c r="M14" s="200">
        <f>'Progress Summary'!$C$10</f>
        <v>5.7142857142857144</v>
      </c>
      <c r="N14" s="201"/>
    </row>
    <row r="15" spans="1:14" ht="16.2" thickBot="1">
      <c r="I15" s="202"/>
      <c r="J15" s="203"/>
      <c r="M15" s="202"/>
      <c r="N15" s="203"/>
    </row>
  </sheetData>
  <mergeCells count="3">
    <mergeCell ref="H13:J13"/>
    <mergeCell ref="I14:J15"/>
    <mergeCell ref="M14:N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Visualization</vt:lpstr>
      <vt:lpstr>Demo</vt:lpstr>
      <vt:lpstr>Excel Syllabus Data</vt:lpstr>
      <vt:lpstr>Goals Data</vt:lpstr>
      <vt:lpstr>Progress Summary</vt:lpstr>
      <vt:lpstr>Study Hours Data</vt:lpstr>
      <vt:lpstr>Progress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Soumyaj</dc:creator>
  <cp:lastModifiedBy>Mehak .</cp:lastModifiedBy>
  <dcterms:created xsi:type="dcterms:W3CDTF">2024-03-19T15:26:04Z</dcterms:created>
  <dcterms:modified xsi:type="dcterms:W3CDTF">2025-09-01T05:56:56Z</dcterms:modified>
</cp:coreProperties>
</file>